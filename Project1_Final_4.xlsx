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Yoga Bar" sheetId="2" state="visible" r:id="rId2"/>
    <sheet xmlns:r="http://schemas.openxmlformats.org/officeDocument/2006/relationships" name="Too Yumm" sheetId="3" state="visible" r:id="rId3"/>
    <sheet xmlns:r="http://schemas.openxmlformats.org/officeDocument/2006/relationships" name="Slurrp Farm" sheetId="4" state="visible" r:id="rId4"/>
    <sheet xmlns:r="http://schemas.openxmlformats.org/officeDocument/2006/relationships" name="Cross-Brand Comparison" sheetId="5" state="visible" r:id="rId5"/>
    <sheet xmlns:r="http://schemas.openxmlformats.org/officeDocument/2006/relationships" name="Google Trends" sheetId="6" state="visible" r:id="rId6"/>
    <sheet xmlns:r="http://schemas.openxmlformats.org/officeDocument/2006/relationships" name="Regional Interest" sheetId="7" state="visible" r:id="rId7"/>
    <sheet xmlns:r="http://schemas.openxmlformats.org/officeDocument/2006/relationships" name="Pricing Analysis" sheetId="8" state="visible" r:id="rId8"/>
    <sheet xmlns:r="http://schemas.openxmlformats.org/officeDocument/2006/relationships" name="Social Media Analysis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E74C3C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888888"/>
      <sz val="10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19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86C1"/>
        <bgColor rgb="FF008080"/>
      </patternFill>
    </fill>
    <fill>
      <patternFill patternType="solid">
        <fgColor rgb="FF28B463"/>
        <bgColor rgb="FF33CCCC"/>
      </patternFill>
    </fill>
    <fill>
      <patternFill patternType="solid">
        <fgColor rgb="FFD4AC0D"/>
        <bgColor rgb="FFFFCC00"/>
      </patternFill>
    </fill>
    <fill>
      <patternFill patternType="solid">
        <fgColor rgb="FFF2F3F4"/>
        <bgColor rgb="FFF5EEF8"/>
      </patternFill>
    </fill>
    <fill>
      <patternFill patternType="solid">
        <fgColor rgb="FFFFFFFF"/>
        <bgColor rgb="FFFEFDE7"/>
      </patternFill>
    </fill>
    <fill>
      <patternFill patternType="solid">
        <fgColor rgb="FFD6EAF8"/>
        <bgColor rgb="FFD5F5E3"/>
      </patternFill>
    </fill>
    <fill>
      <patternFill patternType="solid">
        <fgColor rgb="FF6C3483"/>
        <bgColor rgb="FF993366"/>
      </patternFill>
    </fill>
    <fill>
      <patternFill patternType="solid">
        <fgColor rgb="FFE8DAEF"/>
        <bgColor rgb="FFD9D9D9"/>
      </patternFill>
    </fill>
    <fill>
      <patternFill patternType="solid">
        <fgColor rgb="FFF5EEF8"/>
        <bgColor rgb="FFF2F3F4"/>
      </patternFill>
    </fill>
    <fill>
      <patternFill patternType="solid">
        <fgColor rgb="FFD5F5E3"/>
        <bgColor rgb="FFD6EAF8"/>
      </patternFill>
    </fill>
    <fill>
      <patternFill patternType="solid">
        <fgColor rgb="FFFDEDEC"/>
        <bgColor rgb="FFF5EEF8"/>
      </patternFill>
    </fill>
    <fill>
      <patternFill patternType="solid">
        <fgColor rgb="FFEAFAF1"/>
        <bgColor rgb="FFEBF5FB"/>
      </patternFill>
    </fill>
    <fill>
      <patternFill patternType="solid">
        <fgColor rgb="FFFEFDE7"/>
        <bgColor rgb="FFFEF9E7"/>
      </patternFill>
    </fill>
    <fill>
      <patternFill patternType="solid">
        <fgColor rgb="FFFEF9E7"/>
        <bgColor rgb="FFFEFDE7"/>
      </patternFill>
    </fill>
    <fill>
      <patternFill patternType="solid">
        <fgColor rgb="FFEBF5FB"/>
        <bgColor rgb="FFF2F3F4"/>
      </patternFill>
    </fill>
    <fill>
      <patternFill patternType="solid">
        <fgColor rgb="FFE74C3C"/>
        <bgColor rgb="FFFF8080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indent="1"/>
    </xf>
    <xf numFmtId="0" fontId="8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general" vertical="center" wrapText="1" indent="1"/>
    </xf>
    <xf numFmtId="0" fontId="10" fillId="7" borderId="1" applyAlignment="1" pivotButton="0" quotePrefix="0" xfId="0">
      <alignment horizontal="general" vertical="center" wrapText="1" indent="1"/>
    </xf>
    <xf numFmtId="0" fontId="6" fillId="9" borderId="1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general" vertical="bottom"/>
    </xf>
    <xf numFmtId="0" fontId="7" fillId="10" borderId="2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general" vertical="center" wrapText="1" indent="1"/>
    </xf>
    <xf numFmtId="0" fontId="7" fillId="11" borderId="2" applyAlignment="1" pivotButton="0" quotePrefix="0" xfId="0">
      <alignment horizontal="left" vertical="center" indent="1"/>
    </xf>
    <xf numFmtId="0" fontId="10" fillId="11" borderId="1" applyAlignment="1" pivotButton="0" quotePrefix="0" xfId="0">
      <alignment horizontal="general" vertical="center" wrapText="1" indent="1"/>
    </xf>
    <xf numFmtId="0" fontId="9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indent="1"/>
    </xf>
    <xf numFmtId="0" fontId="8" fillId="8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 indent="1"/>
    </xf>
    <xf numFmtId="164" fontId="8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 wrapText="1" indent="1"/>
    </xf>
    <xf numFmtId="164" fontId="8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 wrapText="1" indent="1"/>
    </xf>
    <xf numFmtId="0" fontId="9" fillId="2" borderId="2" applyAlignment="1" pivotButton="0" quotePrefix="0" xfId="0">
      <alignment horizontal="center" vertical="bottom"/>
    </xf>
    <xf numFmtId="0" fontId="10" fillId="11" borderId="1" applyAlignment="1" pivotButton="0" quotePrefix="0" xfId="0">
      <alignment horizontal="general" vertical="center" wrapText="1"/>
    </xf>
    <xf numFmtId="0" fontId="10" fillId="1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indent="1"/>
    </xf>
    <xf numFmtId="0" fontId="8" fillId="12" borderId="2" applyAlignment="1" pivotButton="0" quotePrefix="0" xfId="0">
      <alignment horizontal="center" vertical="center"/>
    </xf>
    <xf numFmtId="0" fontId="13" fillId="13" borderId="1" applyAlignment="1" pivotButton="0" quotePrefix="0" xfId="0">
      <alignment horizontal="general" vertical="center" wrapText="1" indent="1"/>
    </xf>
    <xf numFmtId="0" fontId="7" fillId="12" borderId="2" applyAlignment="1" pivotButton="0" quotePrefix="0" xfId="0">
      <alignment horizontal="left" vertical="center" indent="1"/>
    </xf>
    <xf numFmtId="0" fontId="10" fillId="12" borderId="1" applyAlignment="1" pivotButton="0" quotePrefix="0" xfId="0">
      <alignment horizontal="general" vertical="center" wrapText="1" indent="1"/>
    </xf>
    <xf numFmtId="0" fontId="10" fillId="14" borderId="1" applyAlignment="1" pivotButton="0" quotePrefix="0" xfId="0">
      <alignment horizontal="general" vertical="center" wrapText="1"/>
    </xf>
    <xf numFmtId="0" fontId="10" fillId="12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left" vertical="center" indent="1"/>
    </xf>
    <xf numFmtId="0" fontId="8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left" vertical="center" indent="1"/>
    </xf>
    <xf numFmtId="164" fontId="8" fillId="15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left" vertical="center" wrapText="1" indent="1"/>
    </xf>
    <xf numFmtId="0" fontId="10" fillId="16" borderId="1" applyAlignment="1" pivotButton="0" quotePrefix="0" xfId="0">
      <alignment horizontal="general" vertical="center" wrapText="1"/>
    </xf>
    <xf numFmtId="0" fontId="10" fillId="15" borderId="1" applyAlignment="1" pivotButton="0" quotePrefix="0" xfId="0">
      <alignment horizontal="general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bottom"/>
    </xf>
    <xf numFmtId="0" fontId="9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 indent="1"/>
    </xf>
    <xf numFmtId="0" fontId="8" fillId="8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 indent="1"/>
    </xf>
    <xf numFmtId="0" fontId="8" fillId="7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 indent="1"/>
    </xf>
    <xf numFmtId="0" fontId="8" fillId="12" borderId="2" applyAlignment="1" pivotButton="0" quotePrefix="0" xfId="0">
      <alignment horizontal="left" vertical="center" wrapText="1" indent="1"/>
    </xf>
    <xf numFmtId="0" fontId="7" fillId="11" borderId="2" applyAlignment="1" pivotButton="0" quotePrefix="0" xfId="0">
      <alignment horizontal="left" vertical="center" wrapText="1" indent="1"/>
    </xf>
    <xf numFmtId="0" fontId="10" fillId="17" borderId="1" applyAlignment="1" pivotButton="0" quotePrefix="0" xfId="0">
      <alignment horizontal="general" vertical="center" wrapText="1"/>
    </xf>
    <xf numFmtId="0" fontId="10" fillId="8" borderId="1" applyAlignment="1" pivotButton="0" quotePrefix="0" xfId="0">
      <alignment horizontal="general" vertical="center" wrapText="1"/>
    </xf>
    <xf numFmtId="0" fontId="9" fillId="2" borderId="2" applyAlignment="1" pivotButton="0" quotePrefix="0" xfId="0">
      <alignment horizontal="left" vertical="center" indent="1"/>
    </xf>
    <xf numFmtId="0" fontId="9" fillId="2" borderId="2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9" fontId="8" fillId="8" borderId="2" applyAlignment="1" pivotButton="0" quotePrefix="0" xfId="0">
      <alignment horizontal="center" vertical="center"/>
    </xf>
    <xf numFmtId="9" fontId="8" fillId="7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left" vertical="center" wrapText="1" indent="1"/>
    </xf>
    <xf numFmtId="0" fontId="8" fillId="6" borderId="2" applyAlignment="1" pivotButton="0" quotePrefix="0" xfId="0">
      <alignment horizontal="left" vertical="center" wrapText="1" indent="1"/>
    </xf>
    <xf numFmtId="0" fontId="8" fillId="6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16" fillId="9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general" vertical="center" wrapText="1"/>
    </xf>
    <xf numFmtId="0" fontId="10" fillId="10" borderId="2" applyAlignment="1" pivotButton="0" quotePrefix="0" xfId="0">
      <alignment horizontal="general" vertical="center" wrapText="1"/>
    </xf>
    <xf numFmtId="0" fontId="9" fillId="18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 indent="1"/>
    </xf>
    <xf numFmtId="0" fontId="8" fillId="10" borderId="1" applyAlignment="1" pivotButton="0" quotePrefix="0" xfId="0">
      <alignment horizontal="left" vertical="center" wrapText="1" indent="1"/>
    </xf>
    <xf numFmtId="0" fontId="8" fillId="11" borderId="2" applyAlignment="1" pivotButton="0" quotePrefix="0" xfId="0">
      <alignment horizontal="left" vertical="center" wrapText="1" indent="1"/>
    </xf>
    <xf numFmtId="0" fontId="8" fillId="11" borderId="1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indent="1"/>
    </xf>
    <xf numFmtId="0" fontId="8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general" vertical="center" wrapText="1" indent="1"/>
    </xf>
    <xf numFmtId="0" fontId="10" fillId="7" borderId="1" applyAlignment="1" pivotButton="0" quotePrefix="0" xfId="0">
      <alignment horizontal="general" vertical="center" wrapText="1" indent="1"/>
    </xf>
    <xf numFmtId="0" fontId="6" fillId="9" borderId="1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general" vertical="bottom"/>
    </xf>
    <xf numFmtId="0" fontId="7" fillId="10" borderId="2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general" vertical="center" wrapText="1" indent="1"/>
    </xf>
    <xf numFmtId="0" fontId="7" fillId="11" borderId="2" applyAlignment="1" pivotButton="0" quotePrefix="0" xfId="0">
      <alignment horizontal="left" vertical="center" indent="1"/>
    </xf>
    <xf numFmtId="0" fontId="10" fillId="11" borderId="1" applyAlignment="1" pivotButton="0" quotePrefix="0" xfId="0">
      <alignment horizontal="general" vertical="center" wrapText="1" indent="1"/>
    </xf>
    <xf numFmtId="0" fontId="9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indent="1"/>
    </xf>
    <xf numFmtId="0" fontId="8" fillId="8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 indent="1"/>
    </xf>
    <xf numFmtId="164" fontId="8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 wrapText="1" indent="1"/>
    </xf>
    <xf numFmtId="164" fontId="8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 wrapText="1" indent="1"/>
    </xf>
    <xf numFmtId="0" fontId="9" fillId="2" borderId="2" applyAlignment="1" pivotButton="0" quotePrefix="0" xfId="0">
      <alignment horizontal="center" vertical="bottom"/>
    </xf>
    <xf numFmtId="0" fontId="10" fillId="11" borderId="1" applyAlignment="1" pivotButton="0" quotePrefix="0" xfId="0">
      <alignment horizontal="general" vertical="center" wrapText="1"/>
    </xf>
    <xf numFmtId="0" fontId="10" fillId="1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indent="1"/>
    </xf>
    <xf numFmtId="0" fontId="8" fillId="12" borderId="2" applyAlignment="1" pivotButton="0" quotePrefix="0" xfId="0">
      <alignment horizontal="center" vertical="center"/>
    </xf>
    <xf numFmtId="0" fontId="13" fillId="13" borderId="1" applyAlignment="1" pivotButton="0" quotePrefix="0" xfId="0">
      <alignment horizontal="general" vertical="center" wrapText="1" indent="1"/>
    </xf>
    <xf numFmtId="0" fontId="0" fillId="0" borderId="3" pivotButton="0" quotePrefix="0" xfId="0"/>
    <xf numFmtId="0" fontId="7" fillId="12" borderId="2" applyAlignment="1" pivotButton="0" quotePrefix="0" xfId="0">
      <alignment horizontal="left" vertical="center" indent="1"/>
    </xf>
    <xf numFmtId="0" fontId="10" fillId="12" borderId="1" applyAlignment="1" pivotButton="0" quotePrefix="0" xfId="0">
      <alignment horizontal="general" vertical="center" wrapText="1" indent="1"/>
    </xf>
    <xf numFmtId="0" fontId="10" fillId="14" borderId="1" applyAlignment="1" pivotButton="0" quotePrefix="0" xfId="0">
      <alignment horizontal="general" vertical="center" wrapText="1"/>
    </xf>
    <xf numFmtId="0" fontId="10" fillId="12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left" vertical="center" indent="1"/>
    </xf>
    <xf numFmtId="0" fontId="8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left" vertical="center" indent="1"/>
    </xf>
    <xf numFmtId="164" fontId="8" fillId="15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left" vertical="center" wrapText="1" indent="1"/>
    </xf>
    <xf numFmtId="0" fontId="10" fillId="16" borderId="1" applyAlignment="1" pivotButton="0" quotePrefix="0" xfId="0">
      <alignment horizontal="general" vertical="center" wrapText="1"/>
    </xf>
    <xf numFmtId="0" fontId="10" fillId="15" borderId="1" applyAlignment="1" pivotButton="0" quotePrefix="0" xfId="0">
      <alignment horizontal="general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bottom"/>
    </xf>
    <xf numFmtId="0" fontId="9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 indent="1"/>
    </xf>
    <xf numFmtId="0" fontId="8" fillId="8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 indent="1"/>
    </xf>
    <xf numFmtId="0" fontId="8" fillId="7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 indent="1"/>
    </xf>
    <xf numFmtId="0" fontId="8" fillId="12" borderId="2" applyAlignment="1" pivotButton="0" quotePrefix="0" xfId="0">
      <alignment horizontal="left" vertical="center" wrapText="1" indent="1"/>
    </xf>
    <xf numFmtId="0" fontId="7" fillId="11" borderId="2" applyAlignment="1" pivotButton="0" quotePrefix="0" xfId="0">
      <alignment horizontal="left" vertical="center" wrapText="1" indent="1"/>
    </xf>
    <xf numFmtId="0" fontId="10" fillId="17" borderId="1" applyAlignment="1" pivotButton="0" quotePrefix="0" xfId="0">
      <alignment horizontal="general" vertical="center" wrapText="1"/>
    </xf>
    <xf numFmtId="0" fontId="10" fillId="8" borderId="1" applyAlignment="1" pivotButton="0" quotePrefix="0" xfId="0">
      <alignment horizontal="general" vertical="center" wrapText="1"/>
    </xf>
    <xf numFmtId="0" fontId="9" fillId="2" borderId="2" applyAlignment="1" pivotButton="0" quotePrefix="0" xfId="0">
      <alignment horizontal="left" vertical="center" indent="1"/>
    </xf>
    <xf numFmtId="0" fontId="9" fillId="2" borderId="2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9" fontId="8" fillId="8" borderId="2" applyAlignment="1" pivotButton="0" quotePrefix="0" xfId="0">
      <alignment horizontal="center" vertical="center"/>
    </xf>
    <xf numFmtId="9" fontId="8" fillId="7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left" vertical="center" wrapText="1" indent="1"/>
    </xf>
    <xf numFmtId="0" fontId="8" fillId="6" borderId="2" applyAlignment="1" pivotButton="0" quotePrefix="0" xfId="0">
      <alignment horizontal="left" vertical="center" wrapText="1" indent="1"/>
    </xf>
    <xf numFmtId="0" fontId="8" fillId="6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16" fillId="9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general" vertical="center" wrapText="1"/>
    </xf>
    <xf numFmtId="0" fontId="10" fillId="10" borderId="2" applyAlignment="1" pivotButton="0" quotePrefix="0" xfId="0">
      <alignment horizontal="general" vertical="center" wrapText="1"/>
    </xf>
    <xf numFmtId="0" fontId="9" fillId="18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 indent="1"/>
    </xf>
    <xf numFmtId="0" fontId="8" fillId="10" borderId="1" applyAlignment="1" pivotButton="0" quotePrefix="0" xfId="0">
      <alignment horizontal="left" vertical="center" wrapText="1" indent="1"/>
    </xf>
    <xf numFmtId="0" fontId="8" fillId="11" borderId="2" applyAlignment="1" pivotButton="0" quotePrefix="0" xfId="0">
      <alignment horizontal="left" vertical="center" wrapText="1" indent="1"/>
    </xf>
    <xf numFmtId="0" fontId="8" fillId="11" borderId="1" applyAlignment="1" pivotButton="0" quotePrefix="0" xfId="0">
      <alignment horizontal="left" vertical="center" wrapText="1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2F3F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6C3483"/>
      <rgbColor rgb="FFFEFDE7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D5F5E3"/>
      <rgbColor rgb="FFFEF9E7"/>
      <rgbColor rgb="FFEBF5FB"/>
      <rgbColor rgb="FFFDEDEC"/>
      <rgbColor rgb="FFF5EEF8"/>
      <rgbColor rgb="FFE8DAEF"/>
      <rgbColor rgb="FF2E86C1"/>
      <rgbColor rgb="FF33CCCC"/>
      <rgbColor rgb="FF99CC00"/>
      <rgbColor rgb="FFFFCC00"/>
      <rgbColor rgb="FFD4AC0D"/>
      <rgbColor rgb="FFE74C3C"/>
      <rgbColor rgb="FF666699"/>
      <rgbColor rgb="FFB3B3B3"/>
      <rgbColor rgb="FF003366"/>
      <rgbColor rgb="FF28B463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Search Interest Over Time — India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'Google Trends'!B12</f>
              <strCache>
                <ptCount val="1"/>
                <pt idx="0">
                  <v>Yoga Bar</v>
                </pt>
              </strCache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 w="47520">
              <a:solidFill>
                <a:srgbClr val="2e86c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val>
            <numRef>
              <f>'Google Trends'!$B$13:$B$65</f>
              <numCache>
                <formatCode>General</formatCode>
                <ptCount val="53"/>
                <pt idx="0">
                  <v>36</v>
                </pt>
                <pt idx="1">
                  <v>28</v>
                </pt>
                <pt idx="2">
                  <v>28</v>
                </pt>
                <pt idx="3">
                  <v>31</v>
                </pt>
                <pt idx="4">
                  <v>28</v>
                </pt>
                <pt idx="5">
                  <v>32</v>
                </pt>
                <pt idx="6">
                  <v>33</v>
                </pt>
                <pt idx="7">
                  <v>34</v>
                </pt>
                <pt idx="8">
                  <v>39</v>
                </pt>
                <pt idx="9">
                  <v>37</v>
                </pt>
                <pt idx="10">
                  <v>37</v>
                </pt>
                <pt idx="11">
                  <v>36</v>
                </pt>
                <pt idx="12">
                  <v>32</v>
                </pt>
                <pt idx="13">
                  <v>37</v>
                </pt>
                <pt idx="14">
                  <v>36</v>
                </pt>
                <pt idx="15">
                  <v>31</v>
                </pt>
                <pt idx="16">
                  <v>34</v>
                </pt>
                <pt idx="17">
                  <v>33</v>
                </pt>
                <pt idx="18">
                  <v>40</v>
                </pt>
                <pt idx="19">
                  <v>36</v>
                </pt>
                <pt idx="20">
                  <v>33</v>
                </pt>
                <pt idx="21">
                  <v>33</v>
                </pt>
                <pt idx="22">
                  <v>31</v>
                </pt>
                <pt idx="23">
                  <v>38</v>
                </pt>
                <pt idx="24">
                  <v>44</v>
                </pt>
                <pt idx="25">
                  <v>32</v>
                </pt>
                <pt idx="26">
                  <v>41</v>
                </pt>
                <pt idx="27">
                  <v>47</v>
                </pt>
                <pt idx="28">
                  <v>53</v>
                </pt>
                <pt idx="29">
                  <v>53</v>
                </pt>
                <pt idx="30">
                  <v>55</v>
                </pt>
                <pt idx="31">
                  <v>56</v>
                </pt>
                <pt idx="32">
                  <v>52</v>
                </pt>
                <pt idx="33">
                  <v>43</v>
                </pt>
                <pt idx="34">
                  <v>45</v>
                </pt>
                <pt idx="35">
                  <v>47</v>
                </pt>
                <pt idx="36">
                  <v>63</v>
                </pt>
                <pt idx="37">
                  <v>61</v>
                </pt>
                <pt idx="38">
                  <v>62</v>
                </pt>
                <pt idx="39">
                  <v>68</v>
                </pt>
                <pt idx="40">
                  <v>75</v>
                </pt>
                <pt idx="41">
                  <v>100</v>
                </pt>
                <pt idx="42">
                  <v>93</v>
                </pt>
                <pt idx="43">
                  <v>68</v>
                </pt>
                <pt idx="44">
                  <v>78</v>
                </pt>
                <pt idx="45">
                  <v>81</v>
                </pt>
                <pt idx="46">
                  <v>87</v>
                </pt>
                <pt idx="47">
                  <v>86</v>
                </pt>
                <pt idx="48">
                  <v>92</v>
                </pt>
                <pt idx="49">
                  <v>85</v>
                </pt>
                <pt idx="50">
                  <v>82</v>
                </pt>
                <pt idx="51">
                  <v>59</v>
                </pt>
                <pt idx="52">
                  <v>43</v>
                </pt>
              </numCache>
            </numRef>
          </val>
          <smooth val="1"/>
        </ser>
        <ser>
          <idx val="1"/>
          <order val="1"/>
          <tx>
            <strRef>
              <f>'Google Trends'!C12</f>
              <strCache>
                <ptCount val="1"/>
                <pt idx="0">
                  <v>Too Yumm</v>
                </pt>
              </strCache>
            </strRef>
          </tx>
          <spPr>
            <a:solidFill xmlns:a="http://schemas.openxmlformats.org/drawingml/2006/main">
              <a:srgbClr val="28b463"/>
            </a:solidFill>
            <a:ln xmlns:a="http://schemas.openxmlformats.org/drawingml/2006/main" w="47520">
              <a:solidFill>
                <a:srgbClr val="28b46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val>
            <numRef>
              <f>'Google Trends'!$C$13:$C$65</f>
              <numCache>
                <formatCode>General</formatCode>
                <ptCount val="5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4</v>
                </pt>
                <pt idx="39">
                  <v>4</v>
                </pt>
                <pt idx="40">
                  <v>4</v>
                </pt>
                <pt idx="41">
                  <v>4</v>
                </pt>
                <pt idx="42">
                  <v>4</v>
                </pt>
                <pt idx="43">
                  <v>4</v>
                </pt>
                <pt idx="44">
                  <v>3</v>
                </pt>
                <pt idx="45">
                  <v>3</v>
                </pt>
                <pt idx="46">
                  <v>5</v>
                </pt>
                <pt idx="47">
                  <v>5</v>
                </pt>
                <pt idx="48">
                  <v>4</v>
                </pt>
                <pt idx="49">
                  <v>4</v>
                </pt>
                <pt idx="50">
                  <v>5</v>
                </pt>
                <pt idx="51">
                  <v>4</v>
                </pt>
                <pt idx="52">
                  <v>4</v>
                </pt>
              </numCache>
            </numRef>
          </val>
          <smooth val="1"/>
        </ser>
        <ser>
          <idx val="2"/>
          <order val="2"/>
          <tx>
            <strRef>
              <f>'Google Trends'!D12</f>
              <strCache>
                <ptCount val="1"/>
                <pt idx="0">
                  <v>Slurrp Farm</v>
                </pt>
              </strCache>
            </strRef>
          </tx>
          <spPr>
            <a:solidFill xmlns:a="http://schemas.openxmlformats.org/drawingml/2006/main">
              <a:srgbClr val="d4ac0d"/>
            </a:solidFill>
            <a:ln xmlns:a="http://schemas.openxmlformats.org/drawingml/2006/main" w="47520">
              <a:solidFill>
                <a:srgbClr val="d4ac0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val>
            <numRef>
              <f>'Google Trends'!$D$13:$D$65</f>
              <numCache>
                <formatCode>General</formatCode>
                <ptCount val="53"/>
                <pt idx="0">
                  <v>12</v>
                </pt>
                <pt idx="1">
                  <v>12</v>
                </pt>
                <pt idx="2">
                  <v>10</v>
                </pt>
                <pt idx="3">
                  <v>14</v>
                </pt>
                <pt idx="4">
                  <v>11</v>
                </pt>
                <pt idx="5">
                  <v>14</v>
                </pt>
                <pt idx="6">
                  <v>12</v>
                </pt>
                <pt idx="7">
                  <v>15</v>
                </pt>
                <pt idx="8">
                  <v>12</v>
                </pt>
                <pt idx="9">
                  <v>14</v>
                </pt>
                <pt idx="10">
                  <v>14</v>
                </pt>
                <pt idx="11">
                  <v>13</v>
                </pt>
                <pt idx="12">
                  <v>14</v>
                </pt>
                <pt idx="13">
                  <v>13</v>
                </pt>
                <pt idx="14">
                  <v>13</v>
                </pt>
                <pt idx="15">
                  <v>12</v>
                </pt>
                <pt idx="16">
                  <v>13</v>
                </pt>
                <pt idx="17">
                  <v>13</v>
                </pt>
                <pt idx="18">
                  <v>13</v>
                </pt>
                <pt idx="19">
                  <v>10</v>
                </pt>
                <pt idx="20">
                  <v>13</v>
                </pt>
                <pt idx="21">
                  <v>10</v>
                </pt>
                <pt idx="22">
                  <v>9</v>
                </pt>
                <pt idx="23">
                  <v>11</v>
                </pt>
                <pt idx="24">
                  <v>10</v>
                </pt>
                <pt idx="25">
                  <v>9</v>
                </pt>
                <pt idx="26">
                  <v>12</v>
                </pt>
                <pt idx="27">
                  <v>13</v>
                </pt>
                <pt idx="28">
                  <v>11</v>
                </pt>
                <pt idx="29">
                  <v>11</v>
                </pt>
                <pt idx="30">
                  <v>13</v>
                </pt>
                <pt idx="31">
                  <v>12</v>
                </pt>
                <pt idx="32">
                  <v>14</v>
                </pt>
                <pt idx="33">
                  <v>11</v>
                </pt>
                <pt idx="34">
                  <v>12</v>
                </pt>
                <pt idx="35">
                  <v>11</v>
                </pt>
                <pt idx="36">
                  <v>11</v>
                </pt>
                <pt idx="37">
                  <v>12</v>
                </pt>
                <pt idx="38">
                  <v>12</v>
                </pt>
                <pt idx="39">
                  <v>11</v>
                </pt>
                <pt idx="40">
                  <v>12</v>
                </pt>
                <pt idx="41">
                  <v>12</v>
                </pt>
                <pt idx="42">
                  <v>9</v>
                </pt>
                <pt idx="43">
                  <v>10</v>
                </pt>
                <pt idx="44">
                  <v>9</v>
                </pt>
                <pt idx="45">
                  <v>11</v>
                </pt>
                <pt idx="46">
                  <v>10</v>
                </pt>
                <pt idx="47">
                  <v>12</v>
                </pt>
                <pt idx="48">
                  <v>12</v>
                </pt>
                <pt idx="49">
                  <v>12</v>
                </pt>
                <pt idx="50">
                  <v>12</v>
                </pt>
                <pt idx="51">
                  <v>12</v>
                </pt>
                <pt idx="52">
                  <v>10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82223980"/>
        <axId val="19784354"/>
      </lineChart>
      <catAx>
        <axId val="82223980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9784354"/>
        <crosses val="autoZero"/>
        <auto val="1"/>
        <lblAlgn val="ctr"/>
        <lblOffset val="100"/>
        <noMultiLvlLbl val="0"/>
      </catAx>
      <valAx>
        <axId val="19784354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Interest Score (0-100)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222398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6</col>
      <colOff>0</colOff>
      <row>3</row>
      <rowOff>0</rowOff>
    </from>
    <to>
      <col>18</col>
      <colOff>581400</colOff>
      <row>23</row>
      <rowOff>71280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92" min="1" max="1"/>
    <col width="20" customWidth="1" style="92" min="2" max="4"/>
    <col width="28" customWidth="1" style="92" min="5" max="5"/>
  </cols>
  <sheetData>
    <row r="1" ht="19.5" customHeight="1" s="93">
      <c r="A1" s="94" t="inlineStr">
        <is>
          <t>Consumer Behaviour &amp; Competitive Intelligence Report
Healthy Snacking Brands — India</t>
        </is>
      </c>
    </row>
    <row r="2" ht="19.5" customHeight="1" s="93"/>
    <row r="3" ht="19.5" customHeight="1" s="93"/>
    <row r="4" ht="21.75" customHeight="1" s="93">
      <c r="A4" s="95" t="inlineStr">
        <is>
          <t>Project 1  |  Market Research &amp; Analytics  |  May 2026</t>
        </is>
      </c>
    </row>
    <row r="5" ht="7.5" customHeight="1" s="93"/>
    <row r="6" ht="24" customHeight="1" s="93">
      <c r="A6" s="96" t="inlineStr">
        <is>
          <t>BRANDS STUDIED</t>
        </is>
      </c>
      <c r="B6" s="97" t="n"/>
      <c r="C6" s="97" t="n"/>
      <c r="D6" s="97" t="n"/>
      <c r="E6" s="97" t="n"/>
    </row>
    <row r="7" ht="15" customHeight="1" s="93">
      <c r="A7" s="98" t="inlineStr">
        <is>
          <t>Yoga Bar</t>
        </is>
      </c>
      <c r="B7" s="99" t="inlineStr">
        <is>
          <t>Too Yumm</t>
        </is>
      </c>
      <c r="C7" s="100" t="inlineStr">
        <is>
          <t>Slurrp Farm</t>
        </is>
      </c>
    </row>
    <row r="8" ht="18" customHeight="1" s="93">
      <c r="A8" s="101" t="inlineStr">
        <is>
          <t>Category</t>
        </is>
      </c>
      <c r="B8" s="102" t="inlineStr">
        <is>
          <t>Premium health bars</t>
        </is>
      </c>
      <c r="C8" s="102" t="inlineStr">
        <is>
          <t>Mass market healthy chips</t>
        </is>
      </c>
      <c r="D8" s="102" t="inlineStr">
        <is>
          <t>Kids &amp; family snacks</t>
        </is>
      </c>
    </row>
    <row r="9" ht="18" customHeight="1" s="93">
      <c r="A9" s="103" t="inlineStr">
        <is>
          <t>Founded</t>
        </is>
      </c>
      <c r="B9" s="104" t="inlineStr">
        <is>
          <t>2015</t>
        </is>
      </c>
      <c r="C9" s="104" t="inlineStr">
        <is>
          <t>2016</t>
        </is>
      </c>
      <c r="D9" s="104" t="inlineStr">
        <is>
          <t>2016</t>
        </is>
      </c>
    </row>
    <row r="10" ht="18" customHeight="1" s="93">
      <c r="A10" s="101" t="inlineStr">
        <is>
          <t>Top Product</t>
        </is>
      </c>
      <c r="B10" s="102" t="inlineStr">
        <is>
          <t>Multigrain Energy Bar</t>
        </is>
      </c>
      <c r="C10" s="102" t="inlineStr">
        <is>
          <t>Multigrain Chips</t>
        </is>
      </c>
      <c r="D10" s="102" t="inlineStr">
        <is>
          <t>Mighty Jowar Puffs</t>
        </is>
      </c>
    </row>
    <row r="11" ht="18" customHeight="1" s="93">
      <c r="A11" s="103" t="inlineStr">
        <is>
          <t>Amazon Rating</t>
        </is>
      </c>
      <c r="B11" s="104" t="inlineStr">
        <is>
          <t>4.1 ⭐</t>
        </is>
      </c>
      <c r="C11" s="104" t="inlineStr">
        <is>
          <t>4.2 ⭐</t>
        </is>
      </c>
      <c r="D11" s="104" t="inlineStr">
        <is>
          <t>4.2 ⭐</t>
        </is>
      </c>
    </row>
    <row r="12" ht="18" customHeight="1" s="93">
      <c r="A12" s="101" t="inlineStr">
        <is>
          <t>Amazon Reviews</t>
        </is>
      </c>
      <c r="B12" s="102" t="inlineStr">
        <is>
          <t>7,767</t>
        </is>
      </c>
      <c r="C12" s="102" t="inlineStr">
        <is>
          <t>374</t>
        </is>
      </c>
      <c r="D12" s="102" t="inlineStr">
        <is>
          <t>1,890</t>
        </is>
      </c>
    </row>
    <row r="13" ht="18" customHeight="1" s="93">
      <c r="A13" s="103" t="inlineStr">
        <is>
          <t>5-Star %</t>
        </is>
      </c>
      <c r="B13" s="104" t="inlineStr">
        <is>
          <t>55%</t>
        </is>
      </c>
      <c r="C13" s="104" t="inlineStr">
        <is>
          <t>58%</t>
        </is>
      </c>
      <c r="D13" s="104" t="inlineStr">
        <is>
          <t>60%</t>
        </is>
      </c>
    </row>
    <row r="14" ht="18" customHeight="1" s="93">
      <c r="A14" s="101" t="inlineStr">
        <is>
          <t>Primary Channel</t>
        </is>
      </c>
      <c r="B14" s="102" t="inlineStr">
        <is>
          <t>Amazon + D2C</t>
        </is>
      </c>
      <c r="C14" s="102" t="inlineStr">
        <is>
          <t>Offline Retail</t>
        </is>
      </c>
      <c r="D14" s="102" t="inlineStr">
        <is>
          <t>Multi-platform</t>
        </is>
      </c>
    </row>
    <row r="15" ht="7.5" customHeight="1" s="93"/>
    <row r="16" ht="24" customHeight="1" s="93">
      <c r="A16" s="96" t="inlineStr">
        <is>
          <t>RESEARCH METHODOLOGY</t>
        </is>
      </c>
      <c r="B16" s="97" t="n"/>
      <c r="C16" s="97" t="n"/>
      <c r="D16" s="97" t="n"/>
      <c r="E16" s="97" t="n"/>
    </row>
    <row r="17" ht="15" customHeight="1" s="93">
      <c r="A17" s="105" t="inlineStr">
        <is>
          <t>Method</t>
        </is>
      </c>
      <c r="B17" s="106" t="inlineStr">
        <is>
          <t>Description</t>
        </is>
      </c>
      <c r="C17" s="97" t="n"/>
      <c r="D17" s="97" t="n"/>
      <c r="E17" s="97" t="n"/>
    </row>
    <row r="18" ht="18" customHeight="1" s="93">
      <c r="A18" s="107" t="inlineStr">
        <is>
          <t>Amazon Review Mining</t>
        </is>
      </c>
      <c r="B18" s="108" t="inlineStr">
        <is>
          <t>Star rating distribution + AI category tag analysis per brand</t>
        </is>
      </c>
      <c r="C18" s="97" t="n"/>
      <c r="D18" s="97" t="n"/>
      <c r="E18" s="97" t="n"/>
    </row>
    <row r="19" ht="18" customHeight="1" s="93">
      <c r="A19" s="103" t="inlineStr">
        <is>
          <t>Platform Mapping</t>
        </is>
      </c>
      <c r="B19" s="109" t="inlineStr">
        <is>
          <t>Checked presence on Amazon, Flipkart, Blinkit, Zepto, JioMart, own website</t>
        </is>
      </c>
      <c r="C19" s="97" t="n"/>
      <c r="D19" s="97" t="n"/>
      <c r="E19" s="97" t="n"/>
    </row>
    <row r="20" ht="18" customHeight="1" s="93">
      <c r="A20" s="107" t="inlineStr">
        <is>
          <t>Google Trends</t>
        </is>
      </c>
      <c r="B20" s="108" t="inlineStr">
        <is>
          <t>Search demand comparison across brand keywords (see Sheet 4)</t>
        </is>
      </c>
      <c r="C20" s="97" t="n"/>
      <c r="D20" s="97" t="n"/>
      <c r="E20" s="97" t="n"/>
    </row>
    <row r="21" ht="18" customHeight="1" s="93">
      <c r="A21" s="103" t="inlineStr">
        <is>
          <t>Consumer Sentiment</t>
        </is>
      </c>
      <c r="B21" s="109" t="inlineStr">
        <is>
          <t>Category-level sentiment analysis using Amazon AI-generated tags</t>
        </is>
      </c>
      <c r="C21" s="97" t="n"/>
      <c r="D21" s="97" t="n"/>
      <c r="E21" s="97" t="n"/>
    </row>
    <row r="22" ht="18" customHeight="1" s="93">
      <c r="A22" s="107" t="inlineStr">
        <is>
          <t>Gap Analysis</t>
        </is>
      </c>
      <c r="B22" s="108" t="inlineStr">
        <is>
          <t>Cross-brand comparison to identify underserved segments</t>
        </is>
      </c>
      <c r="C22" s="97" t="n"/>
      <c r="D22" s="97" t="n"/>
      <c r="E22" s="97" t="n"/>
    </row>
    <row r="23" ht="7.5" customHeight="1" s="93"/>
    <row r="24" ht="24" customHeight="1" s="93">
      <c r="A24" s="110" t="inlineStr">
        <is>
          <t>KEY FINDINGS AT A GLANCE</t>
        </is>
      </c>
      <c r="B24" s="97" t="n"/>
      <c r="C24" s="97" t="n"/>
      <c r="D24" s="97" t="n"/>
      <c r="E24" s="97" t="n"/>
    </row>
    <row r="25" ht="15" customHeight="1" s="93">
      <c r="A25" s="111" t="inlineStr">
        <is>
          <t>Brand / Insight</t>
        </is>
      </c>
      <c r="B25" s="112" t="inlineStr">
        <is>
          <t>Finding</t>
        </is>
      </c>
      <c r="C25" s="97" t="n"/>
      <c r="D25" s="97" t="n"/>
      <c r="E25" s="113" t="n"/>
    </row>
    <row r="26" ht="21.75" customHeight="1" s="93">
      <c r="A26" s="114" t="inlineStr">
        <is>
          <t>Yoga Bar</t>
        </is>
      </c>
      <c r="B26" s="115" t="inlineStr">
        <is>
          <t>Dominates Amazon mindshare (7,767 reviews) but price sensitivity is core risk</t>
        </is>
      </c>
      <c r="C26" s="97" t="n"/>
      <c r="D26" s="97" t="n"/>
      <c r="E26" s="97" t="n"/>
    </row>
    <row r="27" ht="21.75" customHeight="1" s="93">
      <c r="A27" s="116" t="inlineStr">
        <is>
          <t>Too Yumm</t>
        </is>
      </c>
      <c r="B27" s="117" t="inlineStr">
        <is>
          <t>Strong offline brand but critically underinvested in D2C — strategic vulnerability</t>
        </is>
      </c>
      <c r="C27" s="97" t="n"/>
      <c r="D27" s="97" t="n"/>
      <c r="E27" s="97" t="n"/>
    </row>
    <row r="28" ht="21.75" customHeight="1" s="93">
      <c r="A28" s="114" t="inlineStr">
        <is>
          <t>Slurrp Farm</t>
        </is>
      </c>
      <c r="B28" s="115" t="inlineStr">
        <is>
          <t>Highest satisfaction % but taste polarisation + high price limit mass appeal</t>
        </is>
      </c>
      <c r="C28" s="97" t="n"/>
      <c r="D28" s="97" t="n"/>
      <c r="E28" s="97" t="n"/>
    </row>
    <row r="29" ht="21.75" customHeight="1" s="93">
      <c r="A29" s="116" t="inlineStr">
        <is>
          <t>Market Gap</t>
        </is>
      </c>
      <c r="B29" s="117" t="inlineStr">
        <is>
          <t>Working professionals (25–35) are underserved by all 3 brands — Munchu's entry point</t>
        </is>
      </c>
      <c r="C29" s="97" t="n"/>
      <c r="D29" s="97" t="n"/>
      <c r="E29" s="97" t="n"/>
    </row>
    <row r="30" ht="21.75" customHeight="1" s="93">
      <c r="A30" s="114" t="inlineStr">
        <is>
          <t>Winning Formula</t>
        </is>
      </c>
      <c r="B30" s="115" t="inlineStr">
        <is>
          <t>Great taste + honest health claims + accessible price + online-first strategy</t>
        </is>
      </c>
      <c r="C30" s="97" t="n"/>
      <c r="D30" s="97" t="n"/>
      <c r="E30" s="97" t="n"/>
    </row>
    <row r="31"/>
    <row r="32" ht="27.75" customHeight="1" s="93">
      <c r="A32" s="118" t="inlineStr">
        <is>
          <t>✅  ALL DATA COLLECTION COMPLETE — Amazon Reviews | Platform Mapping | Google Trends | Regional Data | Pricing | Social Media</t>
        </is>
      </c>
      <c r="B32" s="97" t="n"/>
      <c r="C32" s="97" t="n"/>
      <c r="D32" s="97" t="n"/>
      <c r="E32" s="97" t="n"/>
    </row>
  </sheetData>
  <mergeCells count="18">
    <mergeCell ref="B26:E26"/>
    <mergeCell ref="B17:E17"/>
    <mergeCell ref="B18:E18"/>
    <mergeCell ref="A4:E4"/>
    <mergeCell ref="B27:E27"/>
    <mergeCell ref="A24:E24"/>
    <mergeCell ref="A16:E16"/>
    <mergeCell ref="B25:D25"/>
    <mergeCell ref="B21:E21"/>
    <mergeCell ref="B30:E30"/>
    <mergeCell ref="B29:E29"/>
    <mergeCell ref="A32:E32"/>
    <mergeCell ref="B19:E19"/>
    <mergeCell ref="B20:E20"/>
    <mergeCell ref="A1:E3"/>
    <mergeCell ref="A6:E6"/>
    <mergeCell ref="B28:E28"/>
    <mergeCell ref="B22:E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2" min="1" max="1"/>
    <col width="18" customWidth="1" style="92" min="2" max="4"/>
    <col width="30" customWidth="1" style="92" min="5" max="5"/>
  </cols>
  <sheetData>
    <row r="1" ht="31.5" customHeight="1" s="93">
      <c r="A1" s="119" t="inlineStr">
        <is>
          <t>Yoga Bar — Review &amp; Sentiment Analysis</t>
        </is>
      </c>
      <c r="B1" s="97" t="n"/>
      <c r="C1" s="97" t="n"/>
      <c r="D1" s="97" t="n"/>
      <c r="E1" s="97" t="n"/>
    </row>
    <row r="2" ht="15" customHeight="1" s="93">
      <c r="A2" s="120" t="inlineStr">
        <is>
          <t>Product: Multigrain Energy Bar Variety Pack  |  Amazon  |  7,767 ratings  |  4.1/5 ⭐</t>
        </is>
      </c>
    </row>
    <row r="3" ht="7.5" customHeight="1" s="93"/>
    <row r="4" ht="24" customHeight="1" s="93">
      <c r="A4" s="121" t="inlineStr">
        <is>
          <t>STAR RATING DISTRIBUTION</t>
        </is>
      </c>
      <c r="B4" s="97" t="n"/>
      <c r="C4" s="97" t="n"/>
      <c r="D4" s="97" t="n"/>
      <c r="E4" s="97" t="n"/>
    </row>
    <row r="5" ht="15" customHeight="1" s="93">
      <c r="A5" s="105" t="inlineStr">
        <is>
          <t>Rating</t>
        </is>
      </c>
      <c r="B5" s="105" t="inlineStr">
        <is>
          <t>% Share</t>
        </is>
      </c>
      <c r="C5" s="105" t="inlineStr">
        <is>
          <t>Est. Reviews</t>
        </is>
      </c>
      <c r="D5" s="105" t="inlineStr">
        <is>
          <t>Signal</t>
        </is>
      </c>
      <c r="E5" s="105" t="inlineStr">
        <is>
          <t>Signal</t>
        </is>
      </c>
    </row>
    <row r="6" ht="15" customHeight="1" s="93">
      <c r="A6" s="122" t="inlineStr">
        <is>
          <t>⭐⭐⭐⭐⭐ 5 Star</t>
        </is>
      </c>
      <c r="B6" s="123" t="inlineStr">
        <is>
          <t>55%</t>
        </is>
      </c>
      <c r="C6" s="123">
        <f>ROUND(7767*0.55,0)</f>
        <v/>
      </c>
      <c r="D6" s="123" t="inlineStr">
        <is>
          <t>Strong majority satisfied</t>
        </is>
      </c>
    </row>
    <row r="7" ht="15" customHeight="1" s="93">
      <c r="A7" s="124" t="inlineStr">
        <is>
          <t>⭐⭐⭐⭐ 4 Star</t>
        </is>
      </c>
      <c r="B7" s="104" t="inlineStr">
        <is>
          <t>23%</t>
        </is>
      </c>
      <c r="C7" s="104">
        <f>ROUND(7767*0.23,0)</f>
        <v/>
      </c>
      <c r="D7" s="104" t="inlineStr">
        <is>
          <t>Generally happy</t>
        </is>
      </c>
    </row>
    <row r="8" ht="15" customHeight="1" s="93">
      <c r="A8" s="122" t="inlineStr">
        <is>
          <t>⭐⭐⭐ 3 Star</t>
        </is>
      </c>
      <c r="B8" s="123" t="inlineStr">
        <is>
          <t>12%</t>
        </is>
      </c>
      <c r="C8" s="123">
        <f>ROUND(7767*0.12,0)</f>
        <v/>
      </c>
      <c r="D8" s="123" t="inlineStr">
        <is>
          <t>Mixed feelings</t>
        </is>
      </c>
    </row>
    <row r="9" ht="15" customHeight="1" s="93">
      <c r="A9" s="124" t="inlineStr">
        <is>
          <t>⭐⭐ 2 Star</t>
        </is>
      </c>
      <c r="B9" s="104" t="inlineStr">
        <is>
          <t>4%</t>
        </is>
      </c>
      <c r="C9" s="104">
        <f>ROUND(7767*0.04,0)</f>
        <v/>
      </c>
      <c r="D9" s="104" t="inlineStr">
        <is>
          <t>Minor dissatisfaction</t>
        </is>
      </c>
    </row>
    <row r="10" ht="15" customHeight="1" s="93">
      <c r="A10" s="122" t="inlineStr">
        <is>
          <t>⭐ 1 Star</t>
        </is>
      </c>
      <c r="B10" s="123" t="inlineStr">
        <is>
          <t>6%</t>
        </is>
      </c>
      <c r="C10" s="123">
        <f>ROUND(7767*0.06,0)</f>
        <v/>
      </c>
      <c r="D10" s="123" t="inlineStr">
        <is>
          <t>Small but vocal minority</t>
        </is>
      </c>
    </row>
    <row r="11" ht="7.5" customHeight="1" s="93"/>
    <row r="12" ht="24" customHeight="1" s="93">
      <c r="A12" s="121" t="inlineStr">
        <is>
          <t>CATEGORY MENTIONS — Amazon AI Tags (Descending)</t>
        </is>
      </c>
      <c r="B12" s="97" t="n"/>
      <c r="C12" s="97" t="n"/>
      <c r="D12" s="97" t="n"/>
      <c r="E12" s="97" t="n"/>
    </row>
    <row r="13" ht="15" customHeight="1" s="93">
      <c r="A13" s="105" t="inlineStr">
        <is>
          <t>Category</t>
        </is>
      </c>
      <c r="B13" s="105" t="inlineStr">
        <is>
          <t>Mentions</t>
        </is>
      </c>
      <c r="C13" s="105" t="inlineStr">
        <is>
          <t>% of Total</t>
        </is>
      </c>
      <c r="D13" s="105" t="inlineStr">
        <is>
          <t>Sentiment</t>
        </is>
      </c>
      <c r="E13" s="105" t="inlineStr">
        <is>
          <t>What It Means</t>
        </is>
      </c>
    </row>
    <row r="14" ht="21.75" customHeight="1" s="93">
      <c r="A14" s="107" t="inlineStr">
        <is>
          <t>Taste</t>
        </is>
      </c>
      <c r="B14" s="123" t="n">
        <v>609</v>
      </c>
      <c r="C14" s="125">
        <f>B14/1807</f>
        <v/>
      </c>
      <c r="D14" s="123" t="inlineStr">
        <is>
          <t>Mostly Positive</t>
        </is>
      </c>
      <c r="E14" s="126" t="inlineStr">
        <is>
          <t>Taste is the #1 driver — far ahead of all other categories</t>
        </is>
      </c>
    </row>
    <row r="15" ht="21.75" customHeight="1" s="93">
      <c r="A15" s="103" t="inlineStr">
        <is>
          <t>Quality</t>
        </is>
      </c>
      <c r="B15" s="104" t="n">
        <v>350</v>
      </c>
      <c r="C15" s="127">
        <f>B15/1807</f>
        <v/>
      </c>
      <c r="D15" s="104" t="inlineStr">
        <is>
          <t>Mostly Positive</t>
        </is>
      </c>
      <c r="E15" s="128" t="inlineStr">
        <is>
          <t>High perceived quality, natural ingredients valued</t>
        </is>
      </c>
    </row>
    <row r="16" ht="21.75" customHeight="1" s="93">
      <c r="A16" s="107" t="inlineStr">
        <is>
          <t>Healthiness</t>
        </is>
      </c>
      <c r="B16" s="123" t="n">
        <v>252</v>
      </c>
      <c r="C16" s="125">
        <f>B16/1807</f>
        <v/>
      </c>
      <c r="D16" s="123" t="inlineStr">
        <is>
          <t>Mostly Positive</t>
        </is>
      </c>
      <c r="E16" s="126" t="inlineStr">
        <is>
          <t>Health positioning is working — key purchase driver</t>
        </is>
      </c>
    </row>
    <row r="17" ht="21.75" customHeight="1" s="93">
      <c r="A17" s="103" t="inlineStr">
        <is>
          <t>Value for Money</t>
        </is>
      </c>
      <c r="B17" s="104" t="n">
        <v>170</v>
      </c>
      <c r="C17" s="127">
        <f>B17/1807</f>
        <v/>
      </c>
      <c r="D17" s="104" t="inlineStr">
        <is>
          <t>Mixed</t>
        </is>
      </c>
      <c r="E17" s="128" t="inlineStr">
        <is>
          <t>Price sensitivity exists — some feel it's too expensive</t>
        </is>
      </c>
    </row>
    <row r="18" ht="21.75" customHeight="1" s="93">
      <c r="A18" s="107" t="inlineStr">
        <is>
          <t>Ingredients</t>
        </is>
      </c>
      <c r="B18" s="123" t="n">
        <v>128</v>
      </c>
      <c r="C18" s="125">
        <f>B18/1807</f>
        <v/>
      </c>
      <c r="D18" s="123" t="inlineStr">
        <is>
          <t>Mostly Positive</t>
        </is>
      </c>
      <c r="E18" s="126" t="inlineStr">
        <is>
          <t>Natural, no preservatives messaging resonates strongly</t>
        </is>
      </c>
    </row>
    <row r="19" ht="21.75" customHeight="1" s="93">
      <c r="A19" s="103" t="inlineStr">
        <is>
          <t>Nutritional Value</t>
        </is>
      </c>
      <c r="B19" s="104" t="n">
        <v>115</v>
      </c>
      <c r="C19" s="127">
        <f>B19/1807</f>
        <v/>
      </c>
      <c r="D19" s="104" t="inlineStr">
        <is>
          <t>Mostly Positive</t>
        </is>
      </c>
      <c r="E19" s="128" t="inlineStr">
        <is>
          <t>Consumers reading and appreciating nutrition labels</t>
        </is>
      </c>
    </row>
    <row r="20" ht="15" customHeight="1" s="93">
      <c r="A20" s="107" t="inlineStr">
        <is>
          <t>Energy</t>
        </is>
      </c>
      <c r="B20" s="123" t="n">
        <v>95</v>
      </c>
      <c r="C20" s="125">
        <f>B20/1807</f>
        <v/>
      </c>
      <c r="D20" s="123" t="inlineStr">
        <is>
          <t>Positive</t>
        </is>
      </c>
      <c r="E20" s="126" t="inlineStr">
        <is>
          <t>Energy boost positioning landing well</t>
        </is>
      </c>
    </row>
    <row r="21" ht="21.75" customHeight="1" s="93">
      <c r="A21" s="103" t="inlineStr">
        <is>
          <t>Portability</t>
        </is>
      </c>
      <c r="B21" s="104" t="n">
        <v>88</v>
      </c>
      <c r="C21" s="127">
        <f>B21/1807</f>
        <v/>
      </c>
      <c r="D21" s="104" t="inlineStr">
        <is>
          <t>Positive</t>
        </is>
      </c>
      <c r="E21" s="128" t="inlineStr">
        <is>
          <t>On-the-go use case validated by consumers</t>
        </is>
      </c>
    </row>
    <row r="22" ht="15" customHeight="1" s="93">
      <c r="A22" s="129" t="inlineStr">
        <is>
          <t>TOTAL</t>
        </is>
      </c>
      <c r="B22" s="129" t="n">
        <v>1807</v>
      </c>
      <c r="C22" s="129" t="n"/>
      <c r="D22" s="129" t="n"/>
      <c r="E22" s="129" t="n"/>
    </row>
    <row r="23" ht="7.5" customHeight="1" s="93"/>
    <row r="24" ht="24" customHeight="1" s="93">
      <c r="A24" s="110" t="inlineStr">
        <is>
          <t>💡 KEY INSIGHTS</t>
        </is>
      </c>
      <c r="B24" s="97" t="n"/>
      <c r="C24" s="97" t="n"/>
      <c r="D24" s="97" t="n"/>
      <c r="E24" s="97" t="n"/>
    </row>
    <row r="25" ht="19.5" customHeight="1" s="93">
      <c r="A25" s="130" t="inlineStr">
        <is>
          <t xml:space="preserve">  →  78% of reviews are 4-5 star — one of the strongest satisfaction profiles in the category</t>
        </is>
      </c>
      <c r="B25" s="97" t="n"/>
      <c r="C25" s="97" t="n"/>
      <c r="D25" s="97" t="n"/>
      <c r="E25" s="97" t="n"/>
    </row>
    <row r="26" ht="19.5" customHeight="1" s="93">
      <c r="A26" s="131" t="inlineStr">
        <is>
          <t xml:space="preserve">  →  Taste (609 mentions) is 74% higher than Quality (350) — taste must always lead in marketing</t>
        </is>
      </c>
      <c r="B26" s="97" t="n"/>
      <c r="C26" s="97" t="n"/>
      <c r="D26" s="97" t="n"/>
      <c r="E26" s="97" t="n"/>
    </row>
    <row r="27" ht="19.5" customHeight="1" s="93">
      <c r="A27" s="130" t="inlineStr">
        <is>
          <t xml:space="preserve">  →  Value for Money (170 mentions, mixed) is the only weak spot — price anchoring strategy needed</t>
        </is>
      </c>
      <c r="B27" s="97" t="n"/>
      <c r="C27" s="97" t="n"/>
      <c r="D27" s="97" t="n"/>
      <c r="E27" s="97" t="n"/>
    </row>
    <row r="28" ht="19.5" customHeight="1" s="93">
      <c r="A28" s="131" t="inlineStr">
        <is>
          <t xml:space="preserve">  →  Health + Ingredients + Nutrition combined = 495 mentions — science-led positioning is core to brand love</t>
        </is>
      </c>
      <c r="B28" s="97" t="n"/>
      <c r="C28" s="97" t="n"/>
      <c r="D28" s="97" t="n"/>
      <c r="E28" s="97" t="n"/>
    </row>
    <row r="29" ht="19.5" customHeight="1" s="93">
      <c r="A29" s="130" t="inlineStr">
        <is>
          <t xml:space="preserve">  →  Portability (88) confirms office/travel snacking is a real use case worth doubling down on</t>
        </is>
      </c>
      <c r="B29" s="97" t="n"/>
      <c r="C29" s="97" t="n"/>
      <c r="D29" s="97" t="n"/>
      <c r="E29" s="97" t="n"/>
    </row>
  </sheetData>
  <mergeCells count="10">
    <mergeCell ref="A12:E12"/>
    <mergeCell ref="A4:E4"/>
    <mergeCell ref="A29:E29"/>
    <mergeCell ref="A26:E26"/>
    <mergeCell ref="A24:E24"/>
    <mergeCell ref="A2:E2"/>
    <mergeCell ref="A25:E25"/>
    <mergeCell ref="A28:E28"/>
    <mergeCell ref="A1:E1"/>
    <mergeCell ref="A27:E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2" min="1" max="1"/>
    <col width="18" customWidth="1" style="92" min="2" max="4"/>
    <col width="30" customWidth="1" style="92" min="5" max="5"/>
  </cols>
  <sheetData>
    <row r="1" ht="31.5" customHeight="1" s="93">
      <c r="A1" s="119" t="inlineStr">
        <is>
          <t>Too Yumm — Review &amp; Sentiment Analysis</t>
        </is>
      </c>
      <c r="B1" s="97" t="n"/>
      <c r="C1" s="97" t="n"/>
      <c r="D1" s="97" t="n"/>
      <c r="E1" s="97" t="n"/>
    </row>
    <row r="2" ht="15" customHeight="1" s="93">
      <c r="A2" s="120" t="inlineStr">
        <is>
          <t>Product: Multigrain Chips Tangy Tomato  |  Amazon  |  374 ratings  |  4.2/5 ⭐  |  Note: Brand is primarily offline</t>
        </is>
      </c>
    </row>
    <row r="3" ht="7.5" customHeight="1" s="93"/>
    <row r="4" ht="24" customHeight="1" s="93">
      <c r="A4" s="132" t="inlineStr">
        <is>
          <t>STAR RATING DISTRIBUTION</t>
        </is>
      </c>
      <c r="B4" s="97" t="n"/>
      <c r="C4" s="97" t="n"/>
      <c r="D4" s="97" t="n"/>
      <c r="E4" s="97" t="n"/>
    </row>
    <row r="5" ht="15" customHeight="1" s="93">
      <c r="A5" s="105" t="inlineStr">
        <is>
          <t>Rating</t>
        </is>
      </c>
      <c r="B5" s="105" t="inlineStr">
        <is>
          <t>% Share</t>
        </is>
      </c>
      <c r="C5" s="105" t="inlineStr">
        <is>
          <t>Est. Reviews</t>
        </is>
      </c>
      <c r="D5" s="105" t="inlineStr">
        <is>
          <t>Signal</t>
        </is>
      </c>
    </row>
    <row r="6" ht="15" customHeight="1" s="93">
      <c r="A6" s="133" t="inlineStr">
        <is>
          <t>⭐⭐⭐⭐⭐ 5 Star</t>
        </is>
      </c>
      <c r="B6" s="134" t="inlineStr">
        <is>
          <t>58%</t>
        </is>
      </c>
      <c r="C6" s="134">
        <f>ROUND(374*0.58,0)</f>
        <v/>
      </c>
      <c r="D6" s="134" t="inlineStr">
        <is>
          <t>Highest 5-star % across 3 brands</t>
        </is>
      </c>
    </row>
    <row r="7" ht="15" customHeight="1" s="93">
      <c r="A7" s="124" t="inlineStr">
        <is>
          <t>⭐⭐⭐⭐ 4 Star</t>
        </is>
      </c>
      <c r="B7" s="104" t="inlineStr">
        <is>
          <t>21%</t>
        </is>
      </c>
      <c r="C7" s="104">
        <f>ROUND(374*0.21,0)</f>
        <v/>
      </c>
      <c r="D7" s="104" t="inlineStr">
        <is>
          <t>Solid satisfaction</t>
        </is>
      </c>
    </row>
    <row r="8" ht="15" customHeight="1" s="93">
      <c r="A8" s="133" t="inlineStr">
        <is>
          <t>⭐⭐⭐ 3 Star</t>
        </is>
      </c>
      <c r="B8" s="134" t="inlineStr">
        <is>
          <t>12%</t>
        </is>
      </c>
      <c r="C8" s="134">
        <f>ROUND(374*0.12,0)</f>
        <v/>
      </c>
      <c r="D8" s="134" t="inlineStr">
        <is>
          <t>Some reservations on taste variety</t>
        </is>
      </c>
    </row>
    <row r="9" ht="15" customHeight="1" s="93">
      <c r="A9" s="124" t="inlineStr">
        <is>
          <t>⭐⭐ 2 Star</t>
        </is>
      </c>
      <c r="B9" s="104" t="inlineStr">
        <is>
          <t>4%</t>
        </is>
      </c>
      <c r="C9" s="104">
        <f>ROUND(374*0.04,0)</f>
        <v/>
      </c>
      <c r="D9" s="104" t="inlineStr">
        <is>
          <t>Minor dissatisfaction</t>
        </is>
      </c>
    </row>
    <row r="10" ht="15" customHeight="1" s="93">
      <c r="A10" s="133" t="inlineStr">
        <is>
          <t>⭐ 1 Star</t>
        </is>
      </c>
      <c r="B10" s="134" t="inlineStr">
        <is>
          <t>5%</t>
        </is>
      </c>
      <c r="C10" s="134">
        <f>ROUND(374*0.05,0)</f>
        <v/>
      </c>
      <c r="D10" s="134" t="inlineStr">
        <is>
          <t>Lowest 1-star % — very clean tail</t>
        </is>
      </c>
    </row>
    <row r="11" ht="7.5" customHeight="1" s="93"/>
    <row r="12" ht="24" customHeight="1" s="93">
      <c r="A12" s="132" t="inlineStr">
        <is>
          <t>CATEGORY ANALYSIS — Inferred from Review Text</t>
        </is>
      </c>
      <c r="B12" s="97" t="n"/>
      <c r="C12" s="97" t="n"/>
      <c r="D12" s="97" t="n"/>
      <c r="E12" s="97" t="n"/>
    </row>
    <row r="13" ht="21.75" customHeight="1" s="93">
      <c r="A13" s="135" t="inlineStr">
        <is>
          <t>⚠  Amazon AI category tags not available for this product. Analysis based on first-page review text patterns.</t>
        </is>
      </c>
      <c r="B13" s="97" t="n"/>
      <c r="C13" s="97" t="n"/>
      <c r="D13" s="97" t="n"/>
      <c r="E13" s="97" t="n"/>
    </row>
    <row r="14" ht="15" customHeight="1" s="93">
      <c r="A14" s="105" t="inlineStr">
        <is>
          <t>Category</t>
        </is>
      </c>
      <c r="B14" s="105" t="inlineStr">
        <is>
          <t>Signal Strength</t>
        </is>
      </c>
      <c r="C14" s="105" t="inlineStr">
        <is>
          <t>Sentiment</t>
        </is>
      </c>
      <c r="D14" s="105" t="inlineStr">
        <is>
          <t>What It Means</t>
        </is>
      </c>
      <c r="E14" s="136" t="n"/>
    </row>
    <row r="15" ht="21.75" customHeight="1" s="93">
      <c r="A15" s="103" t="inlineStr">
        <is>
          <t>Taste &amp; Quality</t>
        </is>
      </c>
      <c r="B15" s="104" t="inlineStr">
        <is>
          <t>High</t>
        </is>
      </c>
      <c r="C15" s="104" t="inlineStr">
        <is>
          <t>Positive</t>
        </is>
      </c>
      <c r="D15" s="109" t="inlineStr">
        <is>
          <t>All first-page reviews praise taste — core brand strength</t>
        </is>
      </c>
      <c r="E15" s="97" t="n"/>
    </row>
    <row r="16" ht="21.75" customHeight="1" s="93">
      <c r="A16" s="137" t="inlineStr">
        <is>
          <t>Health Claims / Ingredients</t>
        </is>
      </c>
      <c r="B16" s="134" t="inlineStr">
        <is>
          <t>High</t>
        </is>
      </c>
      <c r="C16" s="134" t="inlineStr">
        <is>
          <t>Positive</t>
        </is>
      </c>
      <c r="D16" s="138" t="inlineStr">
        <is>
          <t>'Baked not fried' is the key differentiator consumers cite</t>
        </is>
      </c>
      <c r="E16" s="97" t="n"/>
    </row>
    <row r="17" ht="21.75" customHeight="1" s="93">
      <c r="A17" s="103" t="inlineStr">
        <is>
          <t>Value for Money</t>
        </is>
      </c>
      <c r="B17" s="104" t="inlineStr">
        <is>
          <t>Medium</t>
        </is>
      </c>
      <c r="C17" s="104" t="inlineStr">
        <is>
          <t>Mixed</t>
        </is>
      </c>
      <c r="D17" s="109" t="inlineStr">
        <is>
          <t>Some feel pricey vs regular chips at similar price points</t>
        </is>
      </c>
      <c r="E17" s="97" t="n"/>
    </row>
    <row r="18" ht="21.75" customHeight="1" s="93">
      <c r="A18" s="137" t="inlineStr">
        <is>
          <t>Packaging</t>
        </is>
      </c>
      <c r="B18" s="134" t="inlineStr">
        <is>
          <t>Low</t>
        </is>
      </c>
      <c r="C18" s="134" t="inlineStr">
        <is>
          <t>Neutral</t>
        </is>
      </c>
      <c r="D18" s="138" t="inlineStr">
        <is>
          <t>No strong signals — not a purchase driver or detractor</t>
        </is>
      </c>
      <c r="E18" s="97" t="n"/>
    </row>
    <row r="19" ht="7.5" customHeight="1" s="93"/>
    <row r="20" ht="24" customHeight="1" s="93">
      <c r="A20" s="110" t="inlineStr">
        <is>
          <t>💡 KEY INSIGHTS</t>
        </is>
      </c>
      <c r="B20" s="97" t="n"/>
      <c r="C20" s="97" t="n"/>
      <c r="D20" s="97" t="n"/>
      <c r="E20" s="97" t="n"/>
    </row>
    <row r="21" ht="19.5" customHeight="1" s="93">
      <c r="A21" s="139" t="inlineStr">
        <is>
          <t xml:space="preserve">  →  79% are 4-5 star despite only 374 reviews — loyal buyers are very satisfied</t>
        </is>
      </c>
      <c r="B21" s="97" t="n"/>
      <c r="C21" s="97" t="n"/>
      <c r="D21" s="97" t="n"/>
      <c r="E21" s="97" t="n"/>
    </row>
    <row r="22" ht="19.5" customHeight="1" s="93">
      <c r="A22" s="140" t="inlineStr">
        <is>
          <t xml:space="preserve">  →  374 Amazon reviews vs Yoga Bar's 7,767 — confirms Too Yumm is a retail-first brand with weak D2C</t>
        </is>
      </c>
      <c r="B22" s="97" t="n"/>
      <c r="C22" s="97" t="n"/>
      <c r="D22" s="97" t="n"/>
      <c r="E22" s="97" t="n"/>
    </row>
    <row r="23" ht="19.5" customHeight="1" s="93">
      <c r="A23" s="139" t="inlineStr">
        <is>
          <t xml:space="preserve">  →  'Baked not fried' is their strongest consumer message — health positioning is clearly working</t>
        </is>
      </c>
      <c r="B23" s="97" t="n"/>
      <c r="C23" s="97" t="n"/>
      <c r="D23" s="97" t="n"/>
      <c r="E23" s="97" t="n"/>
    </row>
    <row r="24" ht="19.5" customHeight="1" s="93">
      <c r="A24" s="140" t="inlineStr">
        <is>
          <t xml:space="preserve">  →  Low Amazon review volume is itself a strategic insight — their online presence is severely underdeveloped</t>
        </is>
      </c>
      <c r="B24" s="97" t="n"/>
      <c r="C24" s="97" t="n"/>
      <c r="D24" s="97" t="n"/>
      <c r="E24" s="97" t="n"/>
    </row>
    <row r="25" ht="19.5" customHeight="1" s="93">
      <c r="A25" s="139" t="inlineStr">
        <is>
          <t xml:space="preserve">  →  Opportunity: An online-first competitor with similar 'guilt-free' positioning could steal share easily</t>
        </is>
      </c>
      <c r="B25" s="97" t="n"/>
      <c r="C25" s="97" t="n"/>
      <c r="D25" s="97" t="n"/>
      <c r="E25" s="97" t="n"/>
    </row>
  </sheetData>
  <mergeCells count="16">
    <mergeCell ref="A21:E21"/>
    <mergeCell ref="A12:E12"/>
    <mergeCell ref="A4:E4"/>
    <mergeCell ref="D16:E16"/>
    <mergeCell ref="A20:E20"/>
    <mergeCell ref="A24:E24"/>
    <mergeCell ref="A2:E2"/>
    <mergeCell ref="D15:E15"/>
    <mergeCell ref="A25:E25"/>
    <mergeCell ref="D14:E14"/>
    <mergeCell ref="A1:E1"/>
    <mergeCell ref="A23:E23"/>
    <mergeCell ref="A13:E13"/>
    <mergeCell ref="D18:E18"/>
    <mergeCell ref="D17:E17"/>
    <mergeCell ref="A22:E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2" min="1" max="1"/>
    <col width="18" customWidth="1" style="92" min="2" max="4"/>
    <col width="30" customWidth="1" style="92" min="5" max="5"/>
  </cols>
  <sheetData>
    <row r="1" ht="31.5" customHeight="1" s="93">
      <c r="A1" s="119" t="inlineStr">
        <is>
          <t>Slurrp Farm — Review &amp; Sentiment Analysis</t>
        </is>
      </c>
      <c r="B1" s="97" t="n"/>
      <c r="C1" s="97" t="n"/>
      <c r="D1" s="97" t="n"/>
      <c r="E1" s="97" t="n"/>
    </row>
    <row r="2" ht="15" customHeight="1" s="93">
      <c r="A2" s="120" t="inlineStr">
        <is>
          <t>Product: Mighty Jowar Puffs  |  Amazon  |  1,890 ratings  |  4.2/5 ⭐</t>
        </is>
      </c>
    </row>
    <row r="3" ht="7.5" customHeight="1" s="93"/>
    <row r="4" ht="24" customHeight="1" s="93">
      <c r="A4" s="141" t="inlineStr">
        <is>
          <t>STAR RATING DISTRIBUTION</t>
        </is>
      </c>
      <c r="B4" s="97" t="n"/>
      <c r="C4" s="97" t="n"/>
      <c r="D4" s="97" t="n"/>
      <c r="E4" s="97" t="n"/>
    </row>
    <row r="5" ht="15" customHeight="1" s="93">
      <c r="A5" s="105" t="inlineStr">
        <is>
          <t>Rating</t>
        </is>
      </c>
      <c r="B5" s="105" t="inlineStr">
        <is>
          <t>% Share</t>
        </is>
      </c>
      <c r="C5" s="105" t="inlineStr">
        <is>
          <t>Est. Reviews</t>
        </is>
      </c>
      <c r="D5" s="105" t="inlineStr">
        <is>
          <t>Signal</t>
        </is>
      </c>
    </row>
    <row r="6" ht="15" customHeight="1" s="93">
      <c r="A6" s="142" t="inlineStr">
        <is>
          <t>⭐⭐⭐⭐⭐ 5 Star</t>
        </is>
      </c>
      <c r="B6" s="143" t="inlineStr">
        <is>
          <t>60%</t>
        </is>
      </c>
      <c r="C6" s="143">
        <f>ROUND(1890*0.6,0)</f>
        <v/>
      </c>
      <c r="D6" s="143" t="inlineStr">
        <is>
          <t>Highest 5-star % of all 3 brands</t>
        </is>
      </c>
    </row>
    <row r="7" ht="15" customHeight="1" s="93">
      <c r="A7" s="124" t="inlineStr">
        <is>
          <t>⭐⭐⭐⭐ 4 Star</t>
        </is>
      </c>
      <c r="B7" s="104" t="inlineStr">
        <is>
          <t>21%</t>
        </is>
      </c>
      <c r="C7" s="104">
        <f>ROUND(1890*0.21,0)</f>
        <v/>
      </c>
      <c r="D7" s="104" t="inlineStr">
        <is>
          <t>Consistent satisfaction</t>
        </is>
      </c>
    </row>
    <row r="8" ht="15" customHeight="1" s="93">
      <c r="A8" s="142" t="inlineStr">
        <is>
          <t>⭐⭐⭐ 3 Star</t>
        </is>
      </c>
      <c r="B8" s="143" t="inlineStr">
        <is>
          <t>10%</t>
        </is>
      </c>
      <c r="C8" s="143">
        <f>ROUND(1890*0.1,0)</f>
        <v/>
      </c>
      <c r="D8" s="143" t="inlineStr">
        <is>
          <t>Taste polarisation showing here</t>
        </is>
      </c>
    </row>
    <row r="9" ht="15" customHeight="1" s="93">
      <c r="A9" s="124" t="inlineStr">
        <is>
          <t>⭐⭐ 2 Star</t>
        </is>
      </c>
      <c r="B9" s="104" t="inlineStr">
        <is>
          <t>3%</t>
        </is>
      </c>
      <c r="C9" s="104">
        <f>ROUND(1890*0.03,0)</f>
        <v/>
      </c>
      <c r="D9" s="104" t="inlineStr">
        <is>
          <t>Lowest 2-star — strong core product</t>
        </is>
      </c>
    </row>
    <row r="10" ht="15" customHeight="1" s="93">
      <c r="A10" s="142" t="inlineStr">
        <is>
          <t>⭐ 1 Star</t>
        </is>
      </c>
      <c r="B10" s="143" t="inlineStr">
        <is>
          <t>6%</t>
        </is>
      </c>
      <c r="C10" s="143">
        <f>ROUND(1890*0.06,0)</f>
        <v/>
      </c>
      <c r="D10" s="143" t="inlineStr">
        <is>
          <t>Slightly elevated — price frustration</t>
        </is>
      </c>
    </row>
    <row r="11" ht="7.5" customHeight="1" s="93"/>
    <row r="12" ht="24" customHeight="1" s="93">
      <c r="A12" s="141" t="inlineStr">
        <is>
          <t>CATEGORY MENTIONS — Amazon AI Tags (Descending)</t>
        </is>
      </c>
      <c r="B12" s="97" t="n"/>
      <c r="C12" s="97" t="n"/>
      <c r="D12" s="97" t="n"/>
      <c r="E12" s="97" t="n"/>
    </row>
    <row r="13" ht="15" customHeight="1" s="93">
      <c r="A13" s="105" t="inlineStr">
        <is>
          <t>Category</t>
        </is>
      </c>
      <c r="B13" s="105" t="inlineStr">
        <is>
          <t>Mentions</t>
        </is>
      </c>
      <c r="C13" s="105" t="inlineStr">
        <is>
          <t>% of Total</t>
        </is>
      </c>
      <c r="D13" s="105" t="inlineStr">
        <is>
          <t>Sentiment</t>
        </is>
      </c>
      <c r="E13" s="105" t="inlineStr">
        <is>
          <t>What It Means</t>
        </is>
      </c>
    </row>
    <row r="14" ht="21.75" customHeight="1" s="93">
      <c r="A14" s="144" t="inlineStr">
        <is>
          <t>Taste</t>
        </is>
      </c>
      <c r="B14" s="143" t="n">
        <v>51</v>
      </c>
      <c r="C14" s="145">
        <f>B14/161</f>
        <v/>
      </c>
      <c r="D14" s="143" t="inlineStr">
        <is>
          <t>Mixed</t>
        </is>
      </c>
      <c r="E14" s="146" t="inlineStr">
        <is>
          <t>Biggest category BUT polarising — loved by some, bland to others</t>
        </is>
      </c>
    </row>
    <row r="15" ht="21.75" customHeight="1" s="93">
      <c r="A15" s="103" t="inlineStr">
        <is>
          <t>Quality</t>
        </is>
      </c>
      <c r="B15" s="104" t="n">
        <v>37</v>
      </c>
      <c r="C15" s="127">
        <f>B15/161</f>
        <v/>
      </c>
      <c r="D15" s="104" t="inlineStr">
        <is>
          <t>Mostly Positive</t>
        </is>
      </c>
      <c r="E15" s="128" t="inlineStr">
        <is>
          <t>Good perceived quality reassures health-conscious parents</t>
        </is>
      </c>
    </row>
    <row r="16" ht="21.75" customHeight="1" s="93">
      <c r="A16" s="144" t="inlineStr">
        <is>
          <t>Value for Money</t>
        </is>
      </c>
      <c r="B16" s="143" t="n">
        <v>19</v>
      </c>
      <c r="C16" s="145">
        <f>B16/161</f>
        <v/>
      </c>
      <c r="D16" s="143" t="inlineStr">
        <is>
          <t>Negative</t>
        </is>
      </c>
      <c r="E16" s="146" t="inlineStr">
        <is>
          <t>Consistently flagged as too expensive — #1 complaint</t>
        </is>
      </c>
    </row>
    <row r="17" ht="21.75" customHeight="1" s="93">
      <c r="A17" s="103" t="inlineStr">
        <is>
          <t>Nutrition</t>
        </is>
      </c>
      <c r="B17" s="104" t="n">
        <v>14</v>
      </c>
      <c r="C17" s="127">
        <f>B17/161</f>
        <v/>
      </c>
      <c r="D17" s="104" t="inlineStr">
        <is>
          <t>Positive</t>
        </is>
      </c>
      <c r="E17" s="128" t="inlineStr">
        <is>
          <t>Health-conscious parents appreciate detailed nutrition</t>
        </is>
      </c>
    </row>
    <row r="18" ht="21.75" customHeight="1" s="93">
      <c r="A18" s="144" t="inlineStr">
        <is>
          <t>Ingredients</t>
        </is>
      </c>
      <c r="B18" s="143" t="n">
        <v>13</v>
      </c>
      <c r="C18" s="145">
        <f>B18/161</f>
        <v/>
      </c>
      <c r="D18" s="143" t="inlineStr">
        <is>
          <t>Positive</t>
        </is>
      </c>
      <c r="E18" s="146" t="inlineStr">
        <is>
          <t>Clean ingredient list resonates with target audience</t>
        </is>
      </c>
    </row>
    <row r="19" ht="21.75" customHeight="1" s="93">
      <c r="A19" s="103" t="inlineStr">
        <is>
          <t>Sugar-free</t>
        </is>
      </c>
      <c r="B19" s="104" t="n">
        <v>10</v>
      </c>
      <c r="C19" s="127">
        <f>B19/161</f>
        <v/>
      </c>
      <c r="D19" s="104" t="inlineStr">
        <is>
          <t>Positive</t>
        </is>
      </c>
      <c r="E19" s="128" t="inlineStr">
        <is>
          <t>No sugar/salt is a unique differentiator vs competitors</t>
        </is>
      </c>
    </row>
    <row r="20" ht="15" customHeight="1" s="93">
      <c r="A20" s="144" t="inlineStr">
        <is>
          <t>Ease of Preparation</t>
        </is>
      </c>
      <c r="B20" s="143" t="n">
        <v>9</v>
      </c>
      <c r="C20" s="145">
        <f>B20/161</f>
        <v/>
      </c>
      <c r="D20" s="143" t="inlineStr">
        <is>
          <t>Positive</t>
        </is>
      </c>
      <c r="E20" s="146" t="inlineStr">
        <is>
          <t>Convenience valued by busy parents</t>
        </is>
      </c>
    </row>
    <row r="21" ht="15" customHeight="1" s="93">
      <c r="A21" s="103" t="inlineStr">
        <is>
          <t>Portability</t>
        </is>
      </c>
      <c r="B21" s="104" t="n">
        <v>8</v>
      </c>
      <c r="C21" s="127">
        <f>B21/161</f>
        <v/>
      </c>
      <c r="D21" s="104" t="inlineStr">
        <is>
          <t>Positive</t>
        </is>
      </c>
      <c r="E21" s="128" t="inlineStr">
        <is>
          <t>Travel-friendly use case confirmed</t>
        </is>
      </c>
    </row>
    <row r="22" ht="15" customHeight="1" s="93">
      <c r="A22" s="129" t="inlineStr">
        <is>
          <t>TOTAL</t>
        </is>
      </c>
      <c r="B22" s="129" t="n">
        <v>161</v>
      </c>
      <c r="C22" s="129" t="n"/>
      <c r="D22" s="129" t="n"/>
      <c r="E22" s="129" t="n"/>
    </row>
    <row r="23" ht="7.5" customHeight="1" s="93"/>
    <row r="24" ht="24" customHeight="1" s="93">
      <c r="A24" s="110" t="inlineStr">
        <is>
          <t>💡 KEY INSIGHTS</t>
        </is>
      </c>
      <c r="B24" s="97" t="n"/>
      <c r="C24" s="97" t="n"/>
      <c r="D24" s="97" t="n"/>
      <c r="E24" s="97" t="n"/>
    </row>
    <row r="25" ht="19.5" customHeight="1" s="93">
      <c r="A25" s="147" t="inlineStr">
        <is>
          <t xml:space="preserve">  →  Highest 5-star % (60%) of all 3 brands — most loyal buyers when satisfied</t>
        </is>
      </c>
      <c r="B25" s="97" t="n"/>
      <c r="C25" s="97" t="n"/>
      <c r="D25" s="97" t="n"/>
      <c r="E25" s="97" t="n"/>
    </row>
    <row r="26" ht="19.5" customHeight="1" s="93">
      <c r="A26" s="148" t="inlineStr">
        <is>
          <t xml:space="preserve">  →  Taste is MIXED (51 mentions) — the single biggest risk for the brand going forward</t>
        </is>
      </c>
      <c r="B26" s="97" t="n"/>
      <c r="C26" s="97" t="n"/>
      <c r="D26" s="97" t="n"/>
      <c r="E26" s="97" t="n"/>
    </row>
    <row r="27" ht="19.5" customHeight="1" s="93">
      <c r="A27" s="147" t="inlineStr">
        <is>
          <t xml:space="preserve">  →  Value for Money is the #1 complaint — 'expensive' appears in negative reviews repeatedly</t>
        </is>
      </c>
      <c r="B27" s="97" t="n"/>
      <c r="C27" s="97" t="n"/>
      <c r="D27" s="97" t="n"/>
      <c r="E27" s="97" t="n"/>
    </row>
    <row r="28" ht="19.5" customHeight="1" s="93">
      <c r="A28" s="148" t="inlineStr">
        <is>
          <t xml:space="preserve">  →  Sugar-free + no salt is a completely unique positioning — no other brand owns this space</t>
        </is>
      </c>
      <c r="B28" s="97" t="n"/>
      <c r="C28" s="97" t="n"/>
      <c r="D28" s="97" t="n"/>
      <c r="E28" s="97" t="n"/>
    </row>
    <row r="29" ht="19.5" customHeight="1" s="93">
      <c r="A29" s="147" t="inlineStr">
        <is>
          <t xml:space="preserve">  →  Portability + ease of prep confirms busy parent use case is real and should be amplified in marketing</t>
        </is>
      </c>
      <c r="B29" s="97" t="n"/>
      <c r="C29" s="97" t="n"/>
      <c r="D29" s="97" t="n"/>
      <c r="E29" s="97" t="n"/>
    </row>
  </sheetData>
  <mergeCells count="10">
    <mergeCell ref="A12:E12"/>
    <mergeCell ref="A4:E4"/>
    <mergeCell ref="A29:E29"/>
    <mergeCell ref="A26:E26"/>
    <mergeCell ref="A24:E24"/>
    <mergeCell ref="A2:E2"/>
    <mergeCell ref="A25:E25"/>
    <mergeCell ref="A28:E28"/>
    <mergeCell ref="A1:E1"/>
    <mergeCell ref="A27:E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2" min="1" max="1"/>
    <col width="22" customWidth="1" style="92" min="2" max="4"/>
    <col width="30" customWidth="1" style="92" min="5" max="5"/>
  </cols>
  <sheetData>
    <row r="1" ht="36" customHeight="1" s="93">
      <c r="A1" s="149" t="inlineStr">
        <is>
          <t>Cross-Brand Competitive Analysis</t>
        </is>
      </c>
      <c r="B1" s="97" t="n"/>
      <c r="C1" s="97" t="n"/>
      <c r="D1" s="97" t="n"/>
      <c r="E1" s="97" t="n"/>
    </row>
    <row r="2" ht="15" customHeight="1" s="93">
      <c r="A2" s="150" t="inlineStr">
        <is>
          <t>Yoga Bar  vs  Too Yumm  vs  Slurrp Farm  —  Amazon + Platform Intelligence</t>
        </is>
      </c>
    </row>
    <row r="3" ht="7.5" customHeight="1" s="93"/>
    <row r="4" ht="24" customHeight="1" s="93">
      <c r="A4" s="96" t="inlineStr">
        <is>
          <t>1.  PLATFORM &amp; SCALE</t>
        </is>
      </c>
      <c r="B4" s="97" t="n"/>
      <c r="C4" s="97" t="n"/>
      <c r="D4" s="97" t="n"/>
      <c r="E4" s="97" t="n"/>
    </row>
    <row r="5" ht="15" customHeight="1" s="93">
      <c r="A5" s="105" t="inlineStr">
        <is>
          <t>Metric</t>
        </is>
      </c>
      <c r="B5" s="151" t="inlineStr">
        <is>
          <t>Yoga Bar</t>
        </is>
      </c>
      <c r="C5" s="152" t="inlineStr">
        <is>
          <t>Too Yumm</t>
        </is>
      </c>
      <c r="D5" s="153" t="inlineStr">
        <is>
          <t>Slurrp Farm</t>
        </is>
      </c>
    </row>
    <row r="6" ht="19.5" customHeight="1" s="93">
      <c r="A6" s="101" t="inlineStr">
        <is>
          <t>Amazon Reviews (top product)</t>
        </is>
      </c>
      <c r="B6" s="102" t="inlineStr">
        <is>
          <t>7,767</t>
        </is>
      </c>
      <c r="C6" s="102" t="inlineStr">
        <is>
          <t>374</t>
        </is>
      </c>
      <c r="D6" s="102" t="inlineStr">
        <is>
          <t>1,890</t>
        </is>
      </c>
    </row>
    <row r="7" ht="19.5" customHeight="1" s="93">
      <c r="A7" s="103" t="inlineStr">
        <is>
          <t>Star Rating</t>
        </is>
      </c>
      <c r="B7" s="104" t="inlineStr">
        <is>
          <t>4.1 ⭐</t>
        </is>
      </c>
      <c r="C7" s="104" t="inlineStr">
        <is>
          <t>4.2 ⭐</t>
        </is>
      </c>
      <c r="D7" s="104" t="inlineStr">
        <is>
          <t>4.2 ⭐</t>
        </is>
      </c>
    </row>
    <row r="8" ht="19.5" customHeight="1" s="93">
      <c r="A8" s="101" t="inlineStr">
        <is>
          <t>5-Star %</t>
        </is>
      </c>
      <c r="B8" s="102" t="inlineStr">
        <is>
          <t>55%</t>
        </is>
      </c>
      <c r="C8" s="102" t="inlineStr">
        <is>
          <t>58%</t>
        </is>
      </c>
      <c r="D8" s="102" t="inlineStr">
        <is>
          <t>60%</t>
        </is>
      </c>
    </row>
    <row r="9" ht="19.5" customHeight="1" s="93">
      <c r="A9" s="103" t="inlineStr">
        <is>
          <t>1-Star %</t>
        </is>
      </c>
      <c r="B9" s="104" t="inlineStr">
        <is>
          <t>6%</t>
        </is>
      </c>
      <c r="C9" s="104" t="inlineStr">
        <is>
          <t>5%</t>
        </is>
      </c>
      <c r="D9" s="104" t="inlineStr">
        <is>
          <t>6%</t>
        </is>
      </c>
    </row>
    <row r="10" ht="19.5" customHeight="1" s="93">
      <c r="A10" s="101" t="inlineStr">
        <is>
          <t>Primary Sales Channel</t>
        </is>
      </c>
      <c r="B10" s="102" t="inlineStr">
        <is>
          <t>Amazon + D2C</t>
        </is>
      </c>
      <c r="C10" s="102" t="inlineStr">
        <is>
          <t>Offline Retail</t>
        </is>
      </c>
      <c r="D10" s="102" t="inlineStr">
        <is>
          <t>Multi-platform</t>
        </is>
      </c>
    </row>
    <row r="11" ht="19.5" customHeight="1" s="93">
      <c r="A11" s="103" t="inlineStr">
        <is>
          <t>Platform Presence</t>
        </is>
      </c>
      <c r="B11" s="104" t="inlineStr">
        <is>
          <t>Amazon, Blinkit, D2C site</t>
        </is>
      </c>
      <c r="C11" s="104" t="inlineStr">
        <is>
          <t>DMart, Retail, Blinkit</t>
        </is>
      </c>
      <c r="D11" s="104" t="inlineStr">
        <is>
          <t>Amazon, Flipkart, Blinkit, Zepto, JioMart, FirstCry</t>
        </is>
      </c>
    </row>
    <row r="12" ht="19.5" customHeight="1" s="93">
      <c r="A12" s="101" t="inlineStr">
        <is>
          <t>Online Strategy</t>
        </is>
      </c>
      <c r="B12" s="102" t="inlineStr">
        <is>
          <t>Strong</t>
        </is>
      </c>
      <c r="C12" s="102" t="inlineStr">
        <is>
          <t>Weak ⚠</t>
        </is>
      </c>
      <c r="D12" s="102" t="inlineStr">
        <is>
          <t>Balanced</t>
        </is>
      </c>
    </row>
    <row r="13" ht="7.5" customHeight="1" s="93"/>
    <row r="14" ht="24" customHeight="1" s="93">
      <c r="A14" s="96" t="inlineStr">
        <is>
          <t>2.  TOP CONSUMER DRIVERS</t>
        </is>
      </c>
      <c r="B14" s="97" t="n"/>
      <c r="C14" s="97" t="n"/>
      <c r="D14" s="97" t="n"/>
      <c r="E14" s="97" t="n"/>
    </row>
    <row r="15" ht="15" customHeight="1" s="93">
      <c r="A15" s="105" t="inlineStr">
        <is>
          <t>Driver</t>
        </is>
      </c>
      <c r="B15" s="151" t="inlineStr">
        <is>
          <t>Yoga Bar</t>
        </is>
      </c>
      <c r="C15" s="152" t="inlineStr">
        <is>
          <t>Too Yumm</t>
        </is>
      </c>
      <c r="D15" s="153" t="inlineStr">
        <is>
          <t>Slurrp Farm</t>
        </is>
      </c>
    </row>
    <row r="16" ht="21.75" customHeight="1" s="93">
      <c r="A16" s="154" t="inlineStr">
        <is>
          <t>#1 Driver</t>
        </is>
      </c>
      <c r="B16" s="155" t="inlineStr">
        <is>
          <t>Taste (609 mentions)</t>
        </is>
      </c>
      <c r="C16" s="155" t="inlineStr">
        <is>
          <t>Taste + Baked claim</t>
        </is>
      </c>
      <c r="D16" s="155" t="inlineStr">
        <is>
          <t>Taste — but polarising (51)</t>
        </is>
      </c>
    </row>
    <row r="17" ht="21.75" customHeight="1" s="93">
      <c r="A17" s="156" t="inlineStr">
        <is>
          <t>#2 Driver</t>
        </is>
      </c>
      <c r="B17" s="157" t="inlineStr">
        <is>
          <t>Quality (350)</t>
        </is>
      </c>
      <c r="C17" s="157" t="inlineStr">
        <is>
          <t>Health positioning</t>
        </is>
      </c>
      <c r="D17" s="157" t="inlineStr">
        <is>
          <t>Quality (37)</t>
        </is>
      </c>
    </row>
    <row r="18" ht="21.75" customHeight="1" s="93">
      <c r="A18" s="154" t="inlineStr">
        <is>
          <t>#3 Driver</t>
        </is>
      </c>
      <c r="B18" s="155" t="inlineStr">
        <is>
          <t>Healthiness (252)</t>
        </is>
      </c>
      <c r="C18" s="155" t="inlineStr">
        <is>
          <t>Value for money</t>
        </is>
      </c>
      <c r="D18" s="155" t="inlineStr">
        <is>
          <t>Value for money (19) ⚠</t>
        </is>
      </c>
    </row>
    <row r="19" ht="21.75" customHeight="1" s="93">
      <c r="A19" s="156" t="inlineStr">
        <is>
          <t>Top Complaint</t>
        </is>
      </c>
      <c r="B19" s="157" t="inlineStr">
        <is>
          <t>Price too high</t>
        </is>
      </c>
      <c r="C19" s="157" t="inlineStr">
        <is>
          <t>Limited online reviews</t>
        </is>
      </c>
      <c r="D19" s="157" t="inlineStr">
        <is>
          <t>Too expensive + bland</t>
        </is>
      </c>
    </row>
    <row r="20" ht="21.75" customHeight="1" s="93">
      <c r="A20" s="154" t="inlineStr">
        <is>
          <t>Unique Strength</t>
        </is>
      </c>
      <c r="B20" s="155" t="inlineStr">
        <is>
          <t>Nutrition depth</t>
        </is>
      </c>
      <c r="C20" s="155" t="inlineStr">
        <is>
          <t>'Baked not fried'</t>
        </is>
      </c>
      <c r="D20" s="155" t="inlineStr">
        <is>
          <t>Sugar-free + no salt</t>
        </is>
      </c>
    </row>
    <row r="21" ht="21.75" customHeight="1" s="93">
      <c r="A21" s="156" t="inlineStr">
        <is>
          <t>Audience</t>
        </is>
      </c>
      <c r="B21" s="157" t="inlineStr">
        <is>
          <t>Fitness &amp; health crowd</t>
        </is>
      </c>
      <c r="C21" s="157" t="inlineStr">
        <is>
          <t>Mass market youth</t>
        </is>
      </c>
      <c r="D21" s="157" t="inlineStr">
        <is>
          <t>Health-conscious parents</t>
        </is>
      </c>
    </row>
    <row r="22" ht="7.5" customHeight="1" s="93"/>
    <row r="23" ht="24" customHeight="1" s="93">
      <c r="A23" s="110" t="inlineStr">
        <is>
          <t>3.  MARKET GAPS — WHERE MUNCHU FITS</t>
        </is>
      </c>
      <c r="B23" s="97" t="n"/>
      <c r="C23" s="97" t="n"/>
      <c r="D23" s="97" t="n"/>
      <c r="E23" s="97" t="n"/>
    </row>
    <row r="24" ht="15" customHeight="1" s="93">
      <c r="A24" s="105" t="inlineStr">
        <is>
          <t>Gap Identified</t>
        </is>
      </c>
      <c r="B24" s="105" t="inlineStr">
        <is>
          <t>What Brands Are Doing</t>
        </is>
      </c>
      <c r="C24" s="136" t="n"/>
    </row>
    <row r="25" ht="43.5" customHeight="1" s="93">
      <c r="A25" s="158" t="inlineStr">
        <is>
          <t>Underserved Audience</t>
        </is>
      </c>
      <c r="B25" s="115" t="inlineStr">
        <is>
          <t>Yoga Bar targets fitness crowd. Slurrp Farm targets parents. Too Yumm targets youth.</t>
        </is>
      </c>
      <c r="C25" s="97" t="n"/>
      <c r="D25" s="159" t="inlineStr">
        <is>
          <t>Working professionals 25–35 — high income, health aware, time starved — nobody is speaking to them</t>
        </is>
      </c>
    </row>
    <row r="26" ht="43.5" customHeight="1" s="93">
      <c r="A26" s="160" t="inlineStr">
        <is>
          <t>Price vs Health Balance</t>
        </is>
      </c>
      <c r="B26" s="117" t="inlineStr">
        <is>
          <t>Health = premium pricing (Yoga Bar, Slurrp Farm). Affordable = questionable health (Too Yumm).</t>
        </is>
      </c>
      <c r="C26" s="97" t="n"/>
      <c r="D26" s="159" t="inlineStr">
        <is>
          <t>Accessible pricing with genuine health credentials — the gap no one owns</t>
        </is>
      </c>
    </row>
    <row r="27" ht="43.5" customHeight="1" s="93">
      <c r="A27" s="158" t="inlineStr">
        <is>
          <t>Taste Reliability</t>
        </is>
      </c>
      <c r="B27" s="115" t="inlineStr">
        <is>
          <t>Slurrp Farm taste is polarising. Too Yumm taste praised but health claims feel thin.</t>
        </is>
      </c>
      <c r="C27" s="97" t="n"/>
      <c r="D27" s="159" t="inlineStr">
        <is>
          <t>Consistent great taste WITH transparent health credentials — non-negotiable for Munchu</t>
        </is>
      </c>
    </row>
    <row r="28" ht="43.5" customHeight="1" s="93">
      <c r="A28" s="160" t="inlineStr">
        <is>
          <t>Online Strategy</t>
        </is>
      </c>
      <c r="B28" s="117" t="inlineStr">
        <is>
          <t>Too Yumm has almost no D2C presence. Yoga Bar is Amazon-dependent.</t>
        </is>
      </c>
      <c r="C28" s="97" t="n"/>
      <c r="D28" s="159" t="inlineStr">
        <is>
          <t>Balanced omnichannel — Amazon + Blinkit + own site with equal investment</t>
        </is>
      </c>
    </row>
    <row r="29" ht="7.5" customHeight="1" s="93"/>
    <row r="30" ht="24" customHeight="1" s="93">
      <c r="A30" s="96" t="inlineStr">
        <is>
          <t>4.  PROJECT CONCLUSIONS</t>
        </is>
      </c>
      <c r="B30" s="97" t="n"/>
      <c r="C30" s="97" t="n"/>
      <c r="D30" s="97" t="n"/>
      <c r="E30" s="97" t="n"/>
    </row>
    <row r="31" ht="19.5" customHeight="1" s="93">
      <c r="A31" s="161" t="inlineStr">
        <is>
          <t xml:space="preserve">  →  Yoga Bar dominates online mindshare but price sensitivity is its Achilles heel</t>
        </is>
      </c>
      <c r="B31" s="97" t="n"/>
      <c r="C31" s="97" t="n"/>
      <c r="D31" s="97" t="n"/>
      <c r="E31" s="97" t="n"/>
    </row>
    <row r="32" ht="19.5" customHeight="1" s="93">
      <c r="A32" s="162" t="inlineStr">
        <is>
          <t xml:space="preserve">  →  Too Yumm owns offline retail but is critically exposed as D2C + e-commerce grows in India</t>
        </is>
      </c>
      <c r="B32" s="97" t="n"/>
      <c r="C32" s="97" t="n"/>
      <c r="D32" s="97" t="n"/>
      <c r="E32" s="97" t="n"/>
    </row>
    <row r="33" ht="19.5" customHeight="1" s="93">
      <c r="A33" s="161" t="inlineStr">
        <is>
          <t xml:space="preserve">  →  Slurrp Farm has the best ratings % but taste polarisation and pricing cap its mass market potential</t>
        </is>
      </c>
      <c r="B33" s="97" t="n"/>
      <c r="C33" s="97" t="n"/>
      <c r="D33" s="97" t="n"/>
      <c r="E33" s="97" t="n"/>
    </row>
    <row r="34" ht="19.5" customHeight="1" s="93">
      <c r="A34" s="162" t="inlineStr">
        <is>
          <t xml:space="preserve">  →  Working professionals (25–35) are underserved by all 3 brands — this is Munchu's entry point</t>
        </is>
      </c>
      <c r="B34" s="97" t="n"/>
      <c r="C34" s="97" t="n"/>
      <c r="D34" s="97" t="n"/>
      <c r="E34" s="97" t="n"/>
    </row>
    <row r="35" ht="19.5" customHeight="1" s="93">
      <c r="A35" s="161" t="inlineStr">
        <is>
          <t xml:space="preserve">  →  The winning formula: great taste + honest health claims + accessible price + online-first distribution</t>
        </is>
      </c>
      <c r="B35" s="97" t="n"/>
      <c r="C35" s="97" t="n"/>
      <c r="D35" s="97" t="n"/>
      <c r="E35" s="97" t="n"/>
    </row>
  </sheetData>
  <mergeCells count="16">
    <mergeCell ref="A30:E30"/>
    <mergeCell ref="A34:E34"/>
    <mergeCell ref="B24:C24"/>
    <mergeCell ref="A4:E4"/>
    <mergeCell ref="A35:E35"/>
    <mergeCell ref="A2:E2"/>
    <mergeCell ref="B25:C25"/>
    <mergeCell ref="A14:E14"/>
    <mergeCell ref="B28:C28"/>
    <mergeCell ref="A33:E33"/>
    <mergeCell ref="A1:E1"/>
    <mergeCell ref="A23:E23"/>
    <mergeCell ref="A32:E32"/>
    <mergeCell ref="B26:C26"/>
    <mergeCell ref="B27:C27"/>
    <mergeCell ref="A31:E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92" min="1" max="1"/>
    <col width="14" customWidth="1" style="92" min="2" max="4"/>
    <col width="30" customWidth="1" style="92" min="5" max="5"/>
  </cols>
  <sheetData>
    <row r="1" ht="31.5" customHeight="1" s="93">
      <c r="A1" s="119" t="inlineStr">
        <is>
          <t>Google Trends — Search Interest Over Time (India, Apr 2026–Apr 2026)</t>
        </is>
      </c>
      <c r="B1" s="97" t="n"/>
      <c r="C1" s="97" t="n"/>
      <c r="D1" s="97" t="n"/>
      <c r="E1" s="97" t="n"/>
    </row>
    <row r="2" ht="15" customHeight="1" s="93">
      <c r="A2" s="120" t="inlineStr">
        <is>
          <t>Scale: 100 = peak search interest | Source: Google Trends</t>
        </is>
      </c>
    </row>
    <row r="3"/>
    <row r="4" ht="19.5" customHeight="1" s="93">
      <c r="A4" s="163" t="inlineStr">
        <is>
          <t>Metric</t>
        </is>
      </c>
      <c r="B4" s="164" t="inlineStr">
        <is>
          <t>Yoga Bar</t>
        </is>
      </c>
      <c r="C4" s="164" t="inlineStr">
        <is>
          <t>Too Yumm</t>
        </is>
      </c>
      <c r="D4" s="164" t="inlineStr">
        <is>
          <t>Slurrp Farm</t>
        </is>
      </c>
    </row>
    <row r="5" ht="19.5" customHeight="1" s="93">
      <c r="A5" s="124" t="inlineStr">
        <is>
          <t>Average Interest Score</t>
        </is>
      </c>
      <c r="B5" s="104" t="inlineStr">
        <is>
          <t>50</t>
        </is>
      </c>
      <c r="C5" s="104" t="inlineStr">
        <is>
          <t>1.2</t>
        </is>
      </c>
      <c r="D5" s="104" t="inlineStr">
        <is>
          <t>12</t>
        </is>
      </c>
    </row>
    <row r="6" ht="19.5" customHeight="1" s="93">
      <c r="A6" s="122" t="inlineStr">
        <is>
          <t>Peak Score</t>
        </is>
      </c>
      <c r="B6" s="123" t="inlineStr">
        <is>
          <t>100</t>
        </is>
      </c>
      <c r="C6" s="123" t="inlineStr">
        <is>
          <t>5</t>
        </is>
      </c>
      <c r="D6" s="123" t="inlineStr">
        <is>
          <t>15</t>
        </is>
      </c>
    </row>
    <row r="7" ht="19.5" customHeight="1" s="93">
      <c r="A7" s="124" t="inlineStr">
        <is>
          <t>Lowest Score</t>
        </is>
      </c>
      <c r="B7" s="104" t="inlineStr">
        <is>
          <t>28</t>
        </is>
      </c>
      <c r="C7" s="104" t="inlineStr">
        <is>
          <t>0</t>
        </is>
      </c>
      <c r="D7" s="104" t="inlineStr">
        <is>
          <t>9</t>
        </is>
      </c>
    </row>
    <row r="8" ht="19.5" customHeight="1" s="93">
      <c r="A8" s="122" t="inlineStr">
        <is>
          <t>Peak Month</t>
        </is>
      </c>
      <c r="B8" s="123" t="inlineStr">
        <is>
          <t>Feb 2026</t>
        </is>
      </c>
      <c r="C8" s="123" t="inlineStr">
        <is>
          <t>Mar 2026</t>
        </is>
      </c>
      <c r="D8" s="123" t="inlineStr">
        <is>
          <t>Jun 2026 / Jun 2026</t>
        </is>
      </c>
    </row>
    <row r="9" ht="19.5" customHeight="1" s="93">
      <c r="A9" s="124" t="inlineStr">
        <is>
          <t>Trend Direction</t>
        </is>
      </c>
      <c r="B9" s="104" t="inlineStr">
        <is>
          <t>📈 Strong upward</t>
        </is>
      </c>
      <c r="C9" s="104" t="inlineStr">
        <is>
          <t>📈 Emerging (Jan 2026)</t>
        </is>
      </c>
      <c r="D9" s="104" t="inlineStr">
        <is>
          <t>➡ Flat / Stable</t>
        </is>
      </c>
    </row>
    <row r="10" ht="7.5" customHeight="1" s="93"/>
    <row r="11" ht="21.75" customHeight="1" s="93">
      <c r="A11" s="165" t="inlineStr">
        <is>
          <t>Weekly Search Interest Data</t>
        </is>
      </c>
      <c r="B11" s="97" t="n"/>
      <c r="C11" s="97" t="n"/>
      <c r="D11" s="97" t="n"/>
      <c r="E11" s="97" t="n"/>
    </row>
    <row r="12" ht="15" customHeight="1" s="93">
      <c r="A12" s="105" t="inlineStr">
        <is>
          <t>Week</t>
        </is>
      </c>
      <c r="B12" s="151" t="inlineStr">
        <is>
          <t>Yoga Bar</t>
        </is>
      </c>
      <c r="C12" s="152" t="inlineStr">
        <is>
          <t>Too Yumm</t>
        </is>
      </c>
      <c r="D12" s="153" t="inlineStr">
        <is>
          <t>Slurrp Farm</t>
        </is>
      </c>
      <c r="E12" s="111" t="inlineStr">
        <is>
          <t>Leader</t>
        </is>
      </c>
    </row>
    <row r="13" ht="15.75" customHeight="1" s="93">
      <c r="A13" s="124" t="inlineStr">
        <is>
          <t>2026-04-27</t>
        </is>
      </c>
      <c r="B13" s="166" t="n">
        <v>36</v>
      </c>
      <c r="C13" s="104" t="n">
        <v>0</v>
      </c>
      <c r="D13" s="104" t="n">
        <v>12</v>
      </c>
      <c r="E13" s="104" t="inlineStr">
        <is>
          <t>Yoga Bar</t>
        </is>
      </c>
    </row>
    <row r="14" ht="15.75" customHeight="1" s="93">
      <c r="A14" s="122" t="inlineStr">
        <is>
          <t>2026-05-04</t>
        </is>
      </c>
      <c r="B14" s="167" t="n">
        <v>28</v>
      </c>
      <c r="C14" s="123" t="n">
        <v>0</v>
      </c>
      <c r="D14" s="123" t="n">
        <v>12</v>
      </c>
      <c r="E14" s="123" t="inlineStr">
        <is>
          <t>Yoga Bar</t>
        </is>
      </c>
    </row>
    <row r="15" ht="15.75" customHeight="1" s="93">
      <c r="A15" s="124" t="inlineStr">
        <is>
          <t>2026-05-11</t>
        </is>
      </c>
      <c r="B15" s="166" t="n">
        <v>28</v>
      </c>
      <c r="C15" s="104" t="n">
        <v>0</v>
      </c>
      <c r="D15" s="104" t="n">
        <v>10</v>
      </c>
      <c r="E15" s="104" t="inlineStr">
        <is>
          <t>Yoga Bar</t>
        </is>
      </c>
    </row>
    <row r="16" ht="15.75" customHeight="1" s="93">
      <c r="A16" s="122" t="inlineStr">
        <is>
          <t>2026-05-18</t>
        </is>
      </c>
      <c r="B16" s="167" t="n">
        <v>31</v>
      </c>
      <c r="C16" s="123" t="n">
        <v>0</v>
      </c>
      <c r="D16" s="123" t="n">
        <v>14</v>
      </c>
      <c r="E16" s="123" t="inlineStr">
        <is>
          <t>Yoga Bar</t>
        </is>
      </c>
    </row>
    <row r="17" ht="15.75" customHeight="1" s="93">
      <c r="A17" s="124" t="inlineStr">
        <is>
          <t>2026-05-25</t>
        </is>
      </c>
      <c r="B17" s="166" t="n">
        <v>28</v>
      </c>
      <c r="C17" s="104" t="n">
        <v>0</v>
      </c>
      <c r="D17" s="104" t="n">
        <v>11</v>
      </c>
      <c r="E17" s="104" t="inlineStr">
        <is>
          <t>Yoga Bar</t>
        </is>
      </c>
    </row>
    <row r="18" ht="15.75" customHeight="1" s="93">
      <c r="A18" s="122" t="inlineStr">
        <is>
          <t>2026-06-01</t>
        </is>
      </c>
      <c r="B18" s="167" t="n">
        <v>32</v>
      </c>
      <c r="C18" s="123" t="n">
        <v>0</v>
      </c>
      <c r="D18" s="123" t="n">
        <v>14</v>
      </c>
      <c r="E18" s="123" t="inlineStr">
        <is>
          <t>Yoga Bar</t>
        </is>
      </c>
    </row>
    <row r="19" ht="15.75" customHeight="1" s="93">
      <c r="A19" s="124" t="inlineStr">
        <is>
          <t>2026-06-08</t>
        </is>
      </c>
      <c r="B19" s="166" t="n">
        <v>33</v>
      </c>
      <c r="C19" s="104" t="n">
        <v>0</v>
      </c>
      <c r="D19" s="104" t="n">
        <v>12</v>
      </c>
      <c r="E19" s="104" t="inlineStr">
        <is>
          <t>Yoga Bar</t>
        </is>
      </c>
    </row>
    <row r="20" ht="15.75" customHeight="1" s="93">
      <c r="A20" s="122" t="inlineStr">
        <is>
          <t>2026-06-15</t>
        </is>
      </c>
      <c r="B20" s="167" t="n">
        <v>34</v>
      </c>
      <c r="C20" s="123" t="n">
        <v>0</v>
      </c>
      <c r="D20" s="123" t="n">
        <v>15</v>
      </c>
      <c r="E20" s="123" t="inlineStr">
        <is>
          <t>Yoga Bar</t>
        </is>
      </c>
    </row>
    <row r="21" ht="15.75" customHeight="1" s="93">
      <c r="A21" s="124" t="inlineStr">
        <is>
          <t>2026-06-22</t>
        </is>
      </c>
      <c r="B21" s="166" t="n">
        <v>39</v>
      </c>
      <c r="C21" s="104" t="n">
        <v>0</v>
      </c>
      <c r="D21" s="104" t="n">
        <v>12</v>
      </c>
      <c r="E21" s="104" t="inlineStr">
        <is>
          <t>Yoga Bar</t>
        </is>
      </c>
    </row>
    <row r="22" ht="15.75" customHeight="1" s="93">
      <c r="A22" s="122" t="inlineStr">
        <is>
          <t>2026-06-29</t>
        </is>
      </c>
      <c r="B22" s="167" t="n">
        <v>37</v>
      </c>
      <c r="C22" s="123" t="n">
        <v>0</v>
      </c>
      <c r="D22" s="123" t="n">
        <v>14</v>
      </c>
      <c r="E22" s="123" t="inlineStr">
        <is>
          <t>Yoga Bar</t>
        </is>
      </c>
    </row>
    <row r="23" ht="15.75" customHeight="1" s="93">
      <c r="A23" s="124" t="inlineStr">
        <is>
          <t>2026-07-06</t>
        </is>
      </c>
      <c r="B23" s="166" t="n">
        <v>37</v>
      </c>
      <c r="C23" s="104" t="n">
        <v>0</v>
      </c>
      <c r="D23" s="104" t="n">
        <v>14</v>
      </c>
      <c r="E23" s="104" t="inlineStr">
        <is>
          <t>Yoga Bar</t>
        </is>
      </c>
    </row>
    <row r="24" ht="15.75" customHeight="1" s="93">
      <c r="A24" s="122" t="inlineStr">
        <is>
          <t>2026-07-13</t>
        </is>
      </c>
      <c r="B24" s="167" t="n">
        <v>36</v>
      </c>
      <c r="C24" s="123" t="n">
        <v>0</v>
      </c>
      <c r="D24" s="123" t="n">
        <v>13</v>
      </c>
      <c r="E24" s="123" t="inlineStr">
        <is>
          <t>Yoga Bar</t>
        </is>
      </c>
    </row>
    <row r="25" ht="15.75" customHeight="1" s="93">
      <c r="A25" s="124" t="inlineStr">
        <is>
          <t>2026-07-20</t>
        </is>
      </c>
      <c r="B25" s="166" t="n">
        <v>32</v>
      </c>
      <c r="C25" s="104" t="n">
        <v>0</v>
      </c>
      <c r="D25" s="104" t="n">
        <v>14</v>
      </c>
      <c r="E25" s="104" t="inlineStr">
        <is>
          <t>Yoga Bar</t>
        </is>
      </c>
    </row>
    <row r="26" ht="15.75" customHeight="1" s="93">
      <c r="A26" s="122" t="inlineStr">
        <is>
          <t>2026-07-27</t>
        </is>
      </c>
      <c r="B26" s="167" t="n">
        <v>37</v>
      </c>
      <c r="C26" s="123" t="n">
        <v>0</v>
      </c>
      <c r="D26" s="123" t="n">
        <v>13</v>
      </c>
      <c r="E26" s="123" t="inlineStr">
        <is>
          <t>Yoga Bar</t>
        </is>
      </c>
    </row>
    <row r="27" ht="15.75" customHeight="1" s="93">
      <c r="A27" s="124" t="inlineStr">
        <is>
          <t>2026-08-03</t>
        </is>
      </c>
      <c r="B27" s="166" t="n">
        <v>36</v>
      </c>
      <c r="C27" s="104" t="n">
        <v>0</v>
      </c>
      <c r="D27" s="104" t="n">
        <v>13</v>
      </c>
      <c r="E27" s="104" t="inlineStr">
        <is>
          <t>Yoga Bar</t>
        </is>
      </c>
    </row>
    <row r="28" ht="15.75" customHeight="1" s="93">
      <c r="A28" s="122" t="inlineStr">
        <is>
          <t>2026-08-10</t>
        </is>
      </c>
      <c r="B28" s="167" t="n">
        <v>31</v>
      </c>
      <c r="C28" s="123" t="n">
        <v>0</v>
      </c>
      <c r="D28" s="123" t="n">
        <v>12</v>
      </c>
      <c r="E28" s="123" t="inlineStr">
        <is>
          <t>Yoga Bar</t>
        </is>
      </c>
    </row>
    <row r="29" ht="15.75" customHeight="1" s="93">
      <c r="A29" s="124" t="inlineStr">
        <is>
          <t>2026-08-17</t>
        </is>
      </c>
      <c r="B29" s="166" t="n">
        <v>34</v>
      </c>
      <c r="C29" s="104" t="n">
        <v>0</v>
      </c>
      <c r="D29" s="104" t="n">
        <v>13</v>
      </c>
      <c r="E29" s="104" t="inlineStr">
        <is>
          <t>Yoga Bar</t>
        </is>
      </c>
    </row>
    <row r="30" ht="15.75" customHeight="1" s="93">
      <c r="A30" s="122" t="inlineStr">
        <is>
          <t>2026-08-24</t>
        </is>
      </c>
      <c r="B30" s="167" t="n">
        <v>33</v>
      </c>
      <c r="C30" s="123" t="n">
        <v>0</v>
      </c>
      <c r="D30" s="123" t="n">
        <v>13</v>
      </c>
      <c r="E30" s="123" t="inlineStr">
        <is>
          <t>Yoga Bar</t>
        </is>
      </c>
    </row>
    <row r="31" ht="15.75" customHeight="1" s="93">
      <c r="A31" s="124" t="inlineStr">
        <is>
          <t>2026-08-31</t>
        </is>
      </c>
      <c r="B31" s="166" t="n">
        <v>40</v>
      </c>
      <c r="C31" s="104" t="n">
        <v>0</v>
      </c>
      <c r="D31" s="104" t="n">
        <v>13</v>
      </c>
      <c r="E31" s="104" t="inlineStr">
        <is>
          <t>Yoga Bar</t>
        </is>
      </c>
    </row>
    <row r="32" ht="15.75" customHeight="1" s="93">
      <c r="A32" s="122" t="inlineStr">
        <is>
          <t>2026-09-07</t>
        </is>
      </c>
      <c r="B32" s="167" t="n">
        <v>36</v>
      </c>
      <c r="C32" s="123" t="n">
        <v>0</v>
      </c>
      <c r="D32" s="123" t="n">
        <v>10</v>
      </c>
      <c r="E32" s="123" t="inlineStr">
        <is>
          <t>Yoga Bar</t>
        </is>
      </c>
    </row>
    <row r="33" ht="15.75" customHeight="1" s="93">
      <c r="A33" s="124" t="inlineStr">
        <is>
          <t>2026-09-14</t>
        </is>
      </c>
      <c r="B33" s="166" t="n">
        <v>33</v>
      </c>
      <c r="C33" s="104" t="n">
        <v>0</v>
      </c>
      <c r="D33" s="104" t="n">
        <v>13</v>
      </c>
      <c r="E33" s="104" t="inlineStr">
        <is>
          <t>Yoga Bar</t>
        </is>
      </c>
    </row>
    <row r="34" ht="15.75" customHeight="1" s="93">
      <c r="A34" s="122" t="inlineStr">
        <is>
          <t>2026-09-21</t>
        </is>
      </c>
      <c r="B34" s="167" t="n">
        <v>33</v>
      </c>
      <c r="C34" s="123" t="n">
        <v>0</v>
      </c>
      <c r="D34" s="123" t="n">
        <v>10</v>
      </c>
      <c r="E34" s="123" t="inlineStr">
        <is>
          <t>Yoga Bar</t>
        </is>
      </c>
    </row>
    <row r="35" ht="15.75" customHeight="1" s="93">
      <c r="A35" s="124" t="inlineStr">
        <is>
          <t>2026-09-28</t>
        </is>
      </c>
      <c r="B35" s="166" t="n">
        <v>31</v>
      </c>
      <c r="C35" s="104" t="n">
        <v>0</v>
      </c>
      <c r="D35" s="104" t="n">
        <v>9</v>
      </c>
      <c r="E35" s="104" t="inlineStr">
        <is>
          <t>Yoga Bar</t>
        </is>
      </c>
    </row>
    <row r="36" ht="15.75" customHeight="1" s="93">
      <c r="A36" s="122" t="inlineStr">
        <is>
          <t>2026-10-05</t>
        </is>
      </c>
      <c r="B36" s="167" t="n">
        <v>38</v>
      </c>
      <c r="C36" s="123" t="n">
        <v>0</v>
      </c>
      <c r="D36" s="123" t="n">
        <v>11</v>
      </c>
      <c r="E36" s="123" t="inlineStr">
        <is>
          <t>Yoga Bar</t>
        </is>
      </c>
    </row>
    <row r="37" ht="15.75" customHeight="1" s="93">
      <c r="A37" s="124" t="inlineStr">
        <is>
          <t>2026-10-12</t>
        </is>
      </c>
      <c r="B37" s="166" t="n">
        <v>44</v>
      </c>
      <c r="C37" s="104" t="n">
        <v>0</v>
      </c>
      <c r="D37" s="104" t="n">
        <v>10</v>
      </c>
      <c r="E37" s="104" t="inlineStr">
        <is>
          <t>Yoga Bar</t>
        </is>
      </c>
    </row>
    <row r="38" ht="15.75" customHeight="1" s="93">
      <c r="A38" s="122" t="inlineStr">
        <is>
          <t>2026-10-19</t>
        </is>
      </c>
      <c r="B38" s="167" t="n">
        <v>32</v>
      </c>
      <c r="C38" s="123" t="n">
        <v>0</v>
      </c>
      <c r="D38" s="123" t="n">
        <v>9</v>
      </c>
      <c r="E38" s="123" t="inlineStr">
        <is>
          <t>Yoga Bar</t>
        </is>
      </c>
    </row>
    <row r="39" ht="15.75" customHeight="1" s="93">
      <c r="A39" s="124" t="inlineStr">
        <is>
          <t>2026-10-26</t>
        </is>
      </c>
      <c r="B39" s="166" t="n">
        <v>41</v>
      </c>
      <c r="C39" s="104" t="n">
        <v>0</v>
      </c>
      <c r="D39" s="104" t="n">
        <v>12</v>
      </c>
      <c r="E39" s="104" t="inlineStr">
        <is>
          <t>Yoga Bar</t>
        </is>
      </c>
    </row>
    <row r="40" ht="15.75" customHeight="1" s="93">
      <c r="A40" s="122" t="inlineStr">
        <is>
          <t>2026-11-02</t>
        </is>
      </c>
      <c r="B40" s="167" t="n">
        <v>47</v>
      </c>
      <c r="C40" s="123" t="n">
        <v>0</v>
      </c>
      <c r="D40" s="123" t="n">
        <v>13</v>
      </c>
      <c r="E40" s="123" t="inlineStr">
        <is>
          <t>Yoga Bar</t>
        </is>
      </c>
    </row>
    <row r="41" ht="15.75" customHeight="1" s="93">
      <c r="A41" s="124" t="inlineStr">
        <is>
          <t>2026-11-09</t>
        </is>
      </c>
      <c r="B41" s="166" t="n">
        <v>53</v>
      </c>
      <c r="C41" s="104" t="n">
        <v>0</v>
      </c>
      <c r="D41" s="104" t="n">
        <v>11</v>
      </c>
      <c r="E41" s="104" t="inlineStr">
        <is>
          <t>Yoga Bar</t>
        </is>
      </c>
    </row>
    <row r="42" ht="15.75" customHeight="1" s="93">
      <c r="A42" s="122" t="inlineStr">
        <is>
          <t>2026-11-16</t>
        </is>
      </c>
      <c r="B42" s="167" t="n">
        <v>53</v>
      </c>
      <c r="C42" s="123" t="n">
        <v>0</v>
      </c>
      <c r="D42" s="123" t="n">
        <v>11</v>
      </c>
      <c r="E42" s="123" t="inlineStr">
        <is>
          <t>Yoga Bar</t>
        </is>
      </c>
    </row>
    <row r="43" ht="15.75" customHeight="1" s="93">
      <c r="A43" s="124" t="inlineStr">
        <is>
          <t>2026-11-23</t>
        </is>
      </c>
      <c r="B43" s="166" t="n">
        <v>55</v>
      </c>
      <c r="C43" s="104" t="n">
        <v>0</v>
      </c>
      <c r="D43" s="104" t="n">
        <v>13</v>
      </c>
      <c r="E43" s="104" t="inlineStr">
        <is>
          <t>Yoga Bar</t>
        </is>
      </c>
    </row>
    <row r="44" ht="15.75" customHeight="1" s="93">
      <c r="A44" s="122" t="inlineStr">
        <is>
          <t>2026-11-30</t>
        </is>
      </c>
      <c r="B44" s="167" t="n">
        <v>56</v>
      </c>
      <c r="C44" s="123" t="n">
        <v>0</v>
      </c>
      <c r="D44" s="123" t="n">
        <v>12</v>
      </c>
      <c r="E44" s="123" t="inlineStr">
        <is>
          <t>Yoga Bar</t>
        </is>
      </c>
    </row>
    <row r="45" ht="15.75" customHeight="1" s="93">
      <c r="A45" s="124" t="inlineStr">
        <is>
          <t>2026-12-07</t>
        </is>
      </c>
      <c r="B45" s="166" t="n">
        <v>52</v>
      </c>
      <c r="C45" s="104" t="n">
        <v>0</v>
      </c>
      <c r="D45" s="104" t="n">
        <v>14</v>
      </c>
      <c r="E45" s="104" t="inlineStr">
        <is>
          <t>Yoga Bar</t>
        </is>
      </c>
    </row>
    <row r="46" ht="15.75" customHeight="1" s="93">
      <c r="A46" s="122" t="inlineStr">
        <is>
          <t>2026-12-14</t>
        </is>
      </c>
      <c r="B46" s="167" t="n">
        <v>43</v>
      </c>
      <c r="C46" s="123" t="n">
        <v>0</v>
      </c>
      <c r="D46" s="123" t="n">
        <v>11</v>
      </c>
      <c r="E46" s="123" t="inlineStr">
        <is>
          <t>Yoga Bar</t>
        </is>
      </c>
    </row>
    <row r="47" ht="15.75" customHeight="1" s="93">
      <c r="A47" s="124" t="inlineStr">
        <is>
          <t>2026-12-21</t>
        </is>
      </c>
      <c r="B47" s="166" t="n">
        <v>45</v>
      </c>
      <c r="C47" s="104" t="n">
        <v>0</v>
      </c>
      <c r="D47" s="104" t="n">
        <v>12</v>
      </c>
      <c r="E47" s="104" t="inlineStr">
        <is>
          <t>Yoga Bar</t>
        </is>
      </c>
    </row>
    <row r="48" ht="15.75" customHeight="1" s="93">
      <c r="A48" s="122" t="inlineStr">
        <is>
          <t>2026-12-28</t>
        </is>
      </c>
      <c r="B48" s="167" t="n">
        <v>47</v>
      </c>
      <c r="C48" s="123" t="n">
        <v>0</v>
      </c>
      <c r="D48" s="123" t="n">
        <v>11</v>
      </c>
      <c r="E48" s="123" t="inlineStr">
        <is>
          <t>Yoga Bar</t>
        </is>
      </c>
    </row>
    <row r="49" ht="15.75" customHeight="1" s="93">
      <c r="A49" s="124" t="inlineStr">
        <is>
          <t>2026-01-04</t>
        </is>
      </c>
      <c r="B49" s="166" t="n">
        <v>63</v>
      </c>
      <c r="C49" s="104" t="n">
        <v>0</v>
      </c>
      <c r="D49" s="104" t="n">
        <v>11</v>
      </c>
      <c r="E49" s="104" t="inlineStr">
        <is>
          <t>Yoga Bar</t>
        </is>
      </c>
    </row>
    <row r="50" ht="15.75" customHeight="1" s="93">
      <c r="A50" s="122" t="inlineStr">
        <is>
          <t>2026-01-11</t>
        </is>
      </c>
      <c r="B50" s="167" t="n">
        <v>61</v>
      </c>
      <c r="C50" s="123" t="n">
        <v>0</v>
      </c>
      <c r="D50" s="123" t="n">
        <v>12</v>
      </c>
      <c r="E50" s="123" t="inlineStr">
        <is>
          <t>Yoga Bar</t>
        </is>
      </c>
    </row>
    <row r="51" ht="15.75" customHeight="1" s="93">
      <c r="A51" s="124" t="inlineStr">
        <is>
          <t>2026-01-18</t>
        </is>
      </c>
      <c r="B51" s="166" t="n">
        <v>62</v>
      </c>
      <c r="C51" s="104" t="n">
        <v>4</v>
      </c>
      <c r="D51" s="104" t="n">
        <v>12</v>
      </c>
      <c r="E51" s="104" t="inlineStr">
        <is>
          <t>Yoga Bar</t>
        </is>
      </c>
    </row>
    <row r="52" ht="15.75" customHeight="1" s="93">
      <c r="A52" s="122" t="inlineStr">
        <is>
          <t>2026-01-25</t>
        </is>
      </c>
      <c r="B52" s="167" t="n">
        <v>68</v>
      </c>
      <c r="C52" s="123" t="n">
        <v>4</v>
      </c>
      <c r="D52" s="123" t="n">
        <v>11</v>
      </c>
      <c r="E52" s="123" t="inlineStr">
        <is>
          <t>Yoga Bar</t>
        </is>
      </c>
    </row>
    <row r="53" ht="15.75" customHeight="1" s="93">
      <c r="A53" s="124" t="inlineStr">
        <is>
          <t>2026-02-01</t>
        </is>
      </c>
      <c r="B53" s="166" t="n">
        <v>75</v>
      </c>
      <c r="C53" s="104" t="n">
        <v>4</v>
      </c>
      <c r="D53" s="104" t="n">
        <v>12</v>
      </c>
      <c r="E53" s="104" t="inlineStr">
        <is>
          <t>Yoga Bar</t>
        </is>
      </c>
    </row>
    <row r="54" ht="15.75" customHeight="1" s="93">
      <c r="A54" s="122" t="inlineStr">
        <is>
          <t>2026-02-08</t>
        </is>
      </c>
      <c r="B54" s="167" t="n">
        <v>100</v>
      </c>
      <c r="C54" s="123" t="n">
        <v>4</v>
      </c>
      <c r="D54" s="123" t="n">
        <v>12</v>
      </c>
      <c r="E54" s="123" t="inlineStr">
        <is>
          <t>Yoga Bar</t>
        </is>
      </c>
    </row>
    <row r="55" ht="15.75" customHeight="1" s="93">
      <c r="A55" s="124" t="inlineStr">
        <is>
          <t>2026-02-15</t>
        </is>
      </c>
      <c r="B55" s="166" t="n">
        <v>93</v>
      </c>
      <c r="C55" s="104" t="n">
        <v>4</v>
      </c>
      <c r="D55" s="104" t="n">
        <v>9</v>
      </c>
      <c r="E55" s="104" t="inlineStr">
        <is>
          <t>Yoga Bar</t>
        </is>
      </c>
    </row>
    <row r="56" ht="15.75" customHeight="1" s="93">
      <c r="A56" s="122" t="inlineStr">
        <is>
          <t>2026-02-22</t>
        </is>
      </c>
      <c r="B56" s="167" t="n">
        <v>68</v>
      </c>
      <c r="C56" s="123" t="n">
        <v>4</v>
      </c>
      <c r="D56" s="123" t="n">
        <v>10</v>
      </c>
      <c r="E56" s="123" t="inlineStr">
        <is>
          <t>Yoga Bar</t>
        </is>
      </c>
    </row>
    <row r="57" ht="15.75" customHeight="1" s="93">
      <c r="A57" s="124" t="inlineStr">
        <is>
          <t>2026-03-01</t>
        </is>
      </c>
      <c r="B57" s="166" t="n">
        <v>78</v>
      </c>
      <c r="C57" s="104" t="n">
        <v>3</v>
      </c>
      <c r="D57" s="104" t="n">
        <v>9</v>
      </c>
      <c r="E57" s="104" t="inlineStr">
        <is>
          <t>Yoga Bar</t>
        </is>
      </c>
    </row>
    <row r="58" ht="15.75" customHeight="1" s="93">
      <c r="A58" s="122" t="inlineStr">
        <is>
          <t>2026-03-08</t>
        </is>
      </c>
      <c r="B58" s="167" t="n">
        <v>81</v>
      </c>
      <c r="C58" s="123" t="n">
        <v>3</v>
      </c>
      <c r="D58" s="123" t="n">
        <v>11</v>
      </c>
      <c r="E58" s="123" t="inlineStr">
        <is>
          <t>Yoga Bar</t>
        </is>
      </c>
    </row>
    <row r="59" ht="15.75" customHeight="1" s="93">
      <c r="A59" s="124" t="inlineStr">
        <is>
          <t>2026-03-15</t>
        </is>
      </c>
      <c r="B59" s="166" t="n">
        <v>87</v>
      </c>
      <c r="C59" s="104" t="n">
        <v>5</v>
      </c>
      <c r="D59" s="104" t="n">
        <v>10</v>
      </c>
      <c r="E59" s="104" t="inlineStr">
        <is>
          <t>Yoga Bar</t>
        </is>
      </c>
    </row>
    <row r="60" ht="15.75" customHeight="1" s="93">
      <c r="A60" s="122" t="inlineStr">
        <is>
          <t>2026-03-22</t>
        </is>
      </c>
      <c r="B60" s="167" t="n">
        <v>86</v>
      </c>
      <c r="C60" s="123" t="n">
        <v>5</v>
      </c>
      <c r="D60" s="123" t="n">
        <v>12</v>
      </c>
      <c r="E60" s="123" t="inlineStr">
        <is>
          <t>Yoga Bar</t>
        </is>
      </c>
    </row>
    <row r="61" ht="15.75" customHeight="1" s="93">
      <c r="A61" s="124" t="inlineStr">
        <is>
          <t>2026-03-29</t>
        </is>
      </c>
      <c r="B61" s="166" t="n">
        <v>92</v>
      </c>
      <c r="C61" s="104" t="n">
        <v>4</v>
      </c>
      <c r="D61" s="104" t="n">
        <v>12</v>
      </c>
      <c r="E61" s="104" t="inlineStr">
        <is>
          <t>Yoga Bar</t>
        </is>
      </c>
    </row>
    <row r="62" ht="15.75" customHeight="1" s="93">
      <c r="A62" s="122" t="inlineStr">
        <is>
          <t>2026-04-05</t>
        </is>
      </c>
      <c r="B62" s="167" t="n">
        <v>85</v>
      </c>
      <c r="C62" s="123" t="n">
        <v>4</v>
      </c>
      <c r="D62" s="123" t="n">
        <v>12</v>
      </c>
      <c r="E62" s="123" t="inlineStr">
        <is>
          <t>Yoga Bar</t>
        </is>
      </c>
    </row>
    <row r="63" ht="15.75" customHeight="1" s="93">
      <c r="A63" s="124" t="inlineStr">
        <is>
          <t>2026-04-12</t>
        </is>
      </c>
      <c r="B63" s="166" t="n">
        <v>82</v>
      </c>
      <c r="C63" s="104" t="n">
        <v>5</v>
      </c>
      <c r="D63" s="104" t="n">
        <v>12</v>
      </c>
      <c r="E63" s="104" t="inlineStr">
        <is>
          <t>Yoga Bar</t>
        </is>
      </c>
    </row>
    <row r="64" ht="15.75" customHeight="1" s="93">
      <c r="A64" s="122" t="inlineStr">
        <is>
          <t>2026-04-19</t>
        </is>
      </c>
      <c r="B64" s="167" t="n">
        <v>59</v>
      </c>
      <c r="C64" s="123" t="n">
        <v>4</v>
      </c>
      <c r="D64" s="123" t="n">
        <v>12</v>
      </c>
      <c r="E64" s="123" t="inlineStr">
        <is>
          <t>Yoga Bar</t>
        </is>
      </c>
    </row>
    <row r="65" ht="15.75" customHeight="1" s="93">
      <c r="A65" s="124" t="inlineStr">
        <is>
          <t>2026-04-26</t>
        </is>
      </c>
      <c r="B65" s="166" t="n">
        <v>43</v>
      </c>
      <c r="C65" s="104" t="n">
        <v>4</v>
      </c>
      <c r="D65" s="104" t="n">
        <v>10</v>
      </c>
      <c r="E65" s="104" t="inlineStr">
        <is>
          <t>Yoga Bar</t>
        </is>
      </c>
    </row>
    <row r="66"/>
    <row r="67" ht="21.75" customHeight="1" s="93">
      <c r="A67" s="168" t="inlineStr">
        <is>
          <t>💡 KEY INSIGHTS — Google Trends</t>
        </is>
      </c>
      <c r="B67" s="97" t="n"/>
      <c r="C67" s="97" t="n"/>
      <c r="D67" s="97" t="n"/>
      <c r="E67" s="97" t="n"/>
    </row>
    <row r="68" ht="21.75" customHeight="1" s="93">
      <c r="A68" s="131" t="inlineStr">
        <is>
          <t xml:space="preserve">  →  Yoga Bar dominates search with an average score of 53 vs Too Yumm's 2 and Slurrp Farm's 12 — massive awareness gap</t>
        </is>
      </c>
      <c r="B68" s="97" t="n"/>
      <c r="C68" s="97" t="n"/>
      <c r="D68" s="97" t="n"/>
      <c r="E68" s="97" t="n"/>
    </row>
    <row r="69" ht="21.75" customHeight="1" s="93">
      <c r="A69" s="130" t="inlineStr">
        <is>
          <t xml:space="preserve">  →  Yoga Bar hit peak interest of 100 in Feb 2026 — likely driven by a campaign, product launch or PR moment</t>
        </is>
      </c>
      <c r="B69" s="97" t="n"/>
      <c r="C69" s="97" t="n"/>
      <c r="D69" s="97" t="n"/>
      <c r="E69" s="97" t="n"/>
    </row>
    <row r="70" ht="21.75" customHeight="1" s="93">
      <c r="A70" s="131" t="inlineStr">
        <is>
          <t xml:space="preserve">  →  Too Yumm is virtually invisible on Google Search (avg score 2) — confirms their retail-first, non-digital strategy</t>
        </is>
      </c>
      <c r="B70" s="97" t="n"/>
      <c r="C70" s="97" t="n"/>
      <c r="D70" s="97" t="n"/>
      <c r="E70" s="97" t="n"/>
    </row>
    <row r="71" ht="21.75" customHeight="1" s="93">
      <c r="A71" s="130" t="inlineStr">
        <is>
          <t xml:space="preserve">  →  Slurrp Farm is flat and stable (~11-14) — niche but consistent, no breakout growth moment in 12 months</t>
        </is>
      </c>
      <c r="B71" s="97" t="n"/>
      <c r="C71" s="97" t="n"/>
      <c r="D71" s="97" t="n"/>
      <c r="E71" s="97" t="n"/>
    </row>
    <row r="72" ht="21.75" customHeight="1" s="93">
      <c r="A72" s="131" t="inlineStr">
        <is>
          <t xml:space="preserve">  →  Yoga Bar's strong upward trend from Oct 2026 onwards signals growing brand momentum — hard to compete with head-on</t>
        </is>
      </c>
      <c r="B72" s="97" t="n"/>
      <c r="C72" s="97" t="n"/>
      <c r="D72" s="97" t="n"/>
      <c r="E72" s="97" t="n"/>
    </row>
  </sheetData>
  <mergeCells count="9">
    <mergeCell ref="A69:E69"/>
    <mergeCell ref="A2:E2"/>
    <mergeCell ref="A72:E72"/>
    <mergeCell ref="A68:E68"/>
    <mergeCell ref="A11:E11"/>
    <mergeCell ref="A71:E71"/>
    <mergeCell ref="A1:E1"/>
    <mergeCell ref="A70:E70"/>
    <mergeCell ref="A67:E6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92" min="1" max="1"/>
    <col width="16" customWidth="1" style="92" min="2" max="4"/>
    <col width="28" customWidth="1" style="92" min="5" max="5"/>
  </cols>
  <sheetData>
    <row r="1" ht="31.5" customHeight="1" s="93">
      <c r="A1" s="119" t="inlineStr">
        <is>
          <t>Google Trends — Regional Search Interest by State (India)</t>
        </is>
      </c>
      <c r="B1" s="97" t="n"/>
      <c r="C1" s="97" t="n"/>
      <c r="D1" s="97" t="n"/>
      <c r="E1" s="97" t="n"/>
    </row>
    <row r="2" ht="15" customHeight="1" s="93">
      <c r="A2" s="120" t="inlineStr">
        <is>
          <t>Apr 2026 – Apr 2026  |  % share of searches within each state  |  Source: Google Trends</t>
        </is>
      </c>
    </row>
    <row r="3"/>
    <row r="4" ht="21.75" customHeight="1" s="93">
      <c r="A4" s="169" t="inlineStr">
        <is>
          <t>SUMMARY</t>
        </is>
      </c>
      <c r="B4" s="97" t="n"/>
      <c r="C4" s="97" t="n"/>
      <c r="D4" s="97" t="n"/>
      <c r="E4" s="97" t="n"/>
    </row>
    <row r="5" ht="19.5" customHeight="1" s="93">
      <c r="A5" s="103" t="inlineStr">
        <is>
          <t>Yoga Bar dominance</t>
        </is>
      </c>
      <c r="B5" s="109" t="inlineStr">
        <is>
          <t>Leads in ALL 29 states with data — avg 85% share</t>
        </is>
      </c>
      <c r="C5" s="97" t="n"/>
      <c r="D5" s="97" t="n"/>
      <c r="E5" s="97" t="n"/>
    </row>
    <row r="6" ht="19.5" customHeight="1" s="93">
      <c r="A6" s="107" t="inlineStr">
        <is>
          <t>Too Yumm strength</t>
        </is>
      </c>
      <c r="B6" s="108" t="inlineStr">
        <is>
          <t>Strongest in J&amp;K (7%), Assam (6%), Punjab (3%) — North/East India skew</t>
        </is>
      </c>
      <c r="C6" s="97" t="n"/>
      <c r="D6" s="97" t="n"/>
      <c r="E6" s="97" t="n"/>
    </row>
    <row r="7" ht="19.5" customHeight="1" s="93">
      <c r="A7" s="103" t="inlineStr">
        <is>
          <t>Slurrp Farm strength</t>
        </is>
      </c>
      <c r="B7" s="109" t="inlineStr">
        <is>
          <t>Strongest in Goa (31%), Tamil Nadu (25%), Telangana (24%) — South India skew</t>
        </is>
      </c>
      <c r="C7" s="97" t="n"/>
      <c r="D7" s="97" t="n"/>
      <c r="E7" s="97" t="n"/>
    </row>
    <row r="8" ht="19.5" customHeight="1" s="93">
      <c r="A8" s="107" t="inlineStr">
        <is>
          <t>Key battleground</t>
        </is>
      </c>
      <c r="B8" s="108" t="inlineStr">
        <is>
          <t>South India (Tamil Nadu, Telangana, AP, Kerala) — Slurrp Farm competes hardest here</t>
        </is>
      </c>
      <c r="C8" s="97" t="n"/>
      <c r="D8" s="97" t="n"/>
      <c r="E8" s="97" t="n"/>
    </row>
    <row r="9" ht="7.5" customHeight="1" s="93"/>
    <row r="10" ht="21.75" customHeight="1" s="93">
      <c r="A10" s="165" t="inlineStr">
        <is>
          <t>State-wise Search Share</t>
        </is>
      </c>
      <c r="B10" s="97" t="n"/>
      <c r="C10" s="97" t="n"/>
      <c r="D10" s="97" t="n"/>
      <c r="E10" s="97" t="n"/>
    </row>
    <row r="11" ht="15" customHeight="1" s="93">
      <c r="A11" s="105" t="inlineStr">
        <is>
          <t>State</t>
        </is>
      </c>
      <c r="B11" s="151" t="inlineStr">
        <is>
          <t>Yoga Bar %</t>
        </is>
      </c>
      <c r="C11" s="152" t="inlineStr">
        <is>
          <t>Too Yumm %</t>
        </is>
      </c>
      <c r="D11" s="153" t="inlineStr">
        <is>
          <t>Slurrp Farm %</t>
        </is>
      </c>
      <c r="E11" s="111" t="inlineStr">
        <is>
          <t>Slurrp Farm Threat Level</t>
        </is>
      </c>
    </row>
    <row r="12" ht="18" customHeight="1" s="93">
      <c r="A12" s="107" t="inlineStr">
        <is>
          <t>Puducherry</t>
        </is>
      </c>
      <c r="B12" s="170" t="n">
        <v>1</v>
      </c>
      <c r="C12" s="170" t="n">
        <v>0</v>
      </c>
      <c r="D12" s="170" t="n">
        <v>0</v>
      </c>
      <c r="E12" s="123" t="inlineStr">
        <is>
          <t>🟢 Low</t>
        </is>
      </c>
    </row>
    <row r="13" ht="18" customHeight="1" s="93">
      <c r="A13" s="103" t="inlineStr">
        <is>
          <t>Tripura</t>
        </is>
      </c>
      <c r="B13" s="171" t="n">
        <v>1</v>
      </c>
      <c r="C13" s="171" t="n">
        <v>0</v>
      </c>
      <c r="D13" s="171" t="n">
        <v>0</v>
      </c>
      <c r="E13" s="104" t="inlineStr">
        <is>
          <t>🟢 Low</t>
        </is>
      </c>
    </row>
    <row r="14" ht="18" customHeight="1" s="93">
      <c r="A14" s="107" t="inlineStr">
        <is>
          <t>Arunachal Pradesh</t>
        </is>
      </c>
      <c r="B14" s="170" t="n">
        <v>1</v>
      </c>
      <c r="C14" s="170" t="n">
        <v>0</v>
      </c>
      <c r="D14" s="170" t="n">
        <v>0</v>
      </c>
      <c r="E14" s="123" t="inlineStr">
        <is>
          <t>🟢 Low</t>
        </is>
      </c>
    </row>
    <row r="15" ht="18" customHeight="1" s="93">
      <c r="A15" s="103" t="inlineStr">
        <is>
          <t>Meghalaya</t>
        </is>
      </c>
      <c r="B15" s="171" t="n">
        <v>1</v>
      </c>
      <c r="C15" s="171" t="n">
        <v>0</v>
      </c>
      <c r="D15" s="171" t="n">
        <v>0</v>
      </c>
      <c r="E15" s="104" t="inlineStr">
        <is>
          <t>🟢 Low</t>
        </is>
      </c>
    </row>
    <row r="16" ht="18" customHeight="1" s="93">
      <c r="A16" s="107" t="inlineStr">
        <is>
          <t>Manipur</t>
        </is>
      </c>
      <c r="B16" s="170" t="n">
        <v>1</v>
      </c>
      <c r="C16" s="170" t="n">
        <v>0</v>
      </c>
      <c r="D16" s="170" t="n">
        <v>0</v>
      </c>
      <c r="E16" s="123" t="inlineStr">
        <is>
          <t>🟢 Low</t>
        </is>
      </c>
    </row>
    <row r="17" ht="18" customHeight="1" s="93">
      <c r="A17" s="103" t="inlineStr">
        <is>
          <t>Uttarakhand</t>
        </is>
      </c>
      <c r="B17" s="171" t="n">
        <v>0.92</v>
      </c>
      <c r="C17" s="171" t="n">
        <v>0.005</v>
      </c>
      <c r="D17" s="171" t="n">
        <v>0.08</v>
      </c>
      <c r="E17" s="104" t="inlineStr">
        <is>
          <t>🟢 Low</t>
        </is>
      </c>
    </row>
    <row r="18" ht="18" customHeight="1" s="93">
      <c r="A18" s="107" t="inlineStr">
        <is>
          <t>Chhattisgarh</t>
        </is>
      </c>
      <c r="B18" s="170" t="n">
        <v>0.91</v>
      </c>
      <c r="C18" s="170" t="n">
        <v>0</v>
      </c>
      <c r="D18" s="170" t="n">
        <v>0.09</v>
      </c>
      <c r="E18" s="123" t="inlineStr">
        <is>
          <t>🟢 Low</t>
        </is>
      </c>
    </row>
    <row r="19" ht="18" customHeight="1" s="93">
      <c r="A19" s="103" t="inlineStr">
        <is>
          <t>Bihar</t>
        </is>
      </c>
      <c r="B19" s="171" t="n">
        <v>0.91</v>
      </c>
      <c r="C19" s="171" t="n">
        <v>0.005</v>
      </c>
      <c r="D19" s="171" t="n">
        <v>0.09</v>
      </c>
      <c r="E19" s="104" t="inlineStr">
        <is>
          <t>🟢 Low</t>
        </is>
      </c>
    </row>
    <row r="20" ht="18" customHeight="1" s="93">
      <c r="A20" s="107" t="inlineStr">
        <is>
          <t>Jharkhand</t>
        </is>
      </c>
      <c r="B20" s="170" t="n">
        <v>0.88</v>
      </c>
      <c r="C20" s="170" t="n">
        <v>0.005</v>
      </c>
      <c r="D20" s="170" t="n">
        <v>0.12</v>
      </c>
      <c r="E20" s="123" t="inlineStr">
        <is>
          <t>🟢 Low</t>
        </is>
      </c>
    </row>
    <row r="21" ht="18" customHeight="1" s="93">
      <c r="A21" s="103" t="inlineStr">
        <is>
          <t>Rajasthan</t>
        </is>
      </c>
      <c r="B21" s="171" t="n">
        <v>0.87</v>
      </c>
      <c r="C21" s="171" t="n">
        <v>0.02</v>
      </c>
      <c r="D21" s="171" t="n">
        <v>0.11</v>
      </c>
      <c r="E21" s="104" t="inlineStr">
        <is>
          <t>🟢 Low</t>
        </is>
      </c>
    </row>
    <row r="22" ht="18" customHeight="1" s="93">
      <c r="A22" s="107" t="inlineStr">
        <is>
          <t>Madhya Pradesh</t>
        </is>
      </c>
      <c r="B22" s="170" t="n">
        <v>0.87</v>
      </c>
      <c r="C22" s="170" t="n">
        <v>0.01</v>
      </c>
      <c r="D22" s="170" t="n">
        <v>0.12</v>
      </c>
      <c r="E22" s="123" t="inlineStr">
        <is>
          <t>🟢 Low</t>
        </is>
      </c>
    </row>
    <row r="23" ht="18" customHeight="1" s="93">
      <c r="A23" s="103" t="inlineStr">
        <is>
          <t>Odisha</t>
        </is>
      </c>
      <c r="B23" s="171" t="n">
        <v>0.86</v>
      </c>
      <c r="C23" s="171" t="n">
        <v>0.02</v>
      </c>
      <c r="D23" s="171" t="n">
        <v>0.12</v>
      </c>
      <c r="E23" s="104" t="inlineStr">
        <is>
          <t>🟢 Low</t>
        </is>
      </c>
    </row>
    <row r="24" ht="18" customHeight="1" s="93">
      <c r="A24" s="107" t="inlineStr">
        <is>
          <t>Uttar Pradesh</t>
        </is>
      </c>
      <c r="B24" s="170" t="n">
        <v>0.86</v>
      </c>
      <c r="C24" s="170" t="n">
        <v>0.01</v>
      </c>
      <c r="D24" s="170" t="n">
        <v>0.13</v>
      </c>
      <c r="E24" s="123" t="inlineStr">
        <is>
          <t>🟢 Low</t>
        </is>
      </c>
    </row>
    <row r="25" ht="18" customHeight="1" s="93">
      <c r="A25" s="103" t="inlineStr">
        <is>
          <t>Chandigarh</t>
        </is>
      </c>
      <c r="B25" s="171" t="n">
        <v>0.85</v>
      </c>
      <c r="C25" s="171" t="n">
        <v>0</v>
      </c>
      <c r="D25" s="171" t="n">
        <v>0.15</v>
      </c>
      <c r="E25" s="104" t="inlineStr">
        <is>
          <t>🟢 Low</t>
        </is>
      </c>
    </row>
    <row r="26" ht="18" customHeight="1" s="93">
      <c r="A26" s="107" t="inlineStr">
        <is>
          <t>Punjab</t>
        </is>
      </c>
      <c r="B26" s="170" t="n">
        <v>0.83</v>
      </c>
      <c r="C26" s="170" t="n">
        <v>0.03</v>
      </c>
      <c r="D26" s="170" t="n">
        <v>0.14</v>
      </c>
      <c r="E26" s="123" t="inlineStr">
        <is>
          <t>🟢 Low</t>
        </is>
      </c>
    </row>
    <row r="27" ht="18" customHeight="1" s="93">
      <c r="A27" s="103" t="inlineStr">
        <is>
          <t>Maharashtra</t>
        </is>
      </c>
      <c r="B27" s="171" t="n">
        <v>0.8100000000000001</v>
      </c>
      <c r="C27" s="171" t="n">
        <v>0.02</v>
      </c>
      <c r="D27" s="171" t="n">
        <v>0.17</v>
      </c>
      <c r="E27" s="104" t="inlineStr">
        <is>
          <t>🟢 Low</t>
        </is>
      </c>
    </row>
    <row r="28" ht="18" customHeight="1" s="93">
      <c r="A28" s="107" t="inlineStr">
        <is>
          <t>Himachal Pradesh</t>
        </is>
      </c>
      <c r="B28" s="170" t="n">
        <v>0.8</v>
      </c>
      <c r="C28" s="170" t="n">
        <v>0</v>
      </c>
      <c r="D28" s="170" t="n">
        <v>0.2</v>
      </c>
      <c r="E28" s="123" t="inlineStr">
        <is>
          <t>🟡 Medium</t>
        </is>
      </c>
    </row>
    <row r="29" ht="18" customHeight="1" s="93">
      <c r="A29" s="103" t="inlineStr">
        <is>
          <t>Karnataka</t>
        </is>
      </c>
      <c r="B29" s="171" t="n">
        <v>0.79</v>
      </c>
      <c r="C29" s="171" t="n">
        <v>0.01</v>
      </c>
      <c r="D29" s="171" t="n">
        <v>0.2</v>
      </c>
      <c r="E29" s="104" t="inlineStr">
        <is>
          <t>🟡 Medium</t>
        </is>
      </c>
    </row>
    <row r="30" ht="18" customHeight="1" s="93">
      <c r="A30" s="107" t="inlineStr">
        <is>
          <t>Delhi</t>
        </is>
      </c>
      <c r="B30" s="170" t="n">
        <v>0.79</v>
      </c>
      <c r="C30" s="170" t="n">
        <v>0.02</v>
      </c>
      <c r="D30" s="170" t="n">
        <v>0.19</v>
      </c>
      <c r="E30" s="123" t="inlineStr">
        <is>
          <t>🟡 Medium</t>
        </is>
      </c>
    </row>
    <row r="31" ht="18" customHeight="1" s="93">
      <c r="A31" s="103" t="inlineStr">
        <is>
          <t>Assam</t>
        </is>
      </c>
      <c r="B31" s="171" t="n">
        <v>0.79</v>
      </c>
      <c r="C31" s="171" t="n">
        <v>0.06</v>
      </c>
      <c r="D31" s="171" t="n">
        <v>0.15</v>
      </c>
      <c r="E31" s="104" t="inlineStr">
        <is>
          <t>🟢 Low</t>
        </is>
      </c>
    </row>
    <row r="32" ht="18" customHeight="1" s="93">
      <c r="A32" s="107" t="inlineStr">
        <is>
          <t>Andhra Pradesh</t>
        </is>
      </c>
      <c r="B32" s="170" t="n">
        <v>0.78</v>
      </c>
      <c r="C32" s="170" t="n">
        <v>0.005</v>
      </c>
      <c r="D32" s="170" t="n">
        <v>0.22</v>
      </c>
      <c r="E32" s="123" t="inlineStr">
        <is>
          <t>🟡 Medium</t>
        </is>
      </c>
    </row>
    <row r="33" ht="18" customHeight="1" s="93">
      <c r="A33" s="103" t="inlineStr">
        <is>
          <t>Kerala</t>
        </is>
      </c>
      <c r="B33" s="171" t="n">
        <v>0.78</v>
      </c>
      <c r="C33" s="171" t="n">
        <v>0.005</v>
      </c>
      <c r="D33" s="171" t="n">
        <v>0.22</v>
      </c>
      <c r="E33" s="104" t="inlineStr">
        <is>
          <t>🟡 Medium</t>
        </is>
      </c>
    </row>
    <row r="34" ht="18" customHeight="1" s="93">
      <c r="A34" s="107" t="inlineStr">
        <is>
          <t>Gujarat</t>
        </is>
      </c>
      <c r="B34" s="170" t="n">
        <v>0.78</v>
      </c>
      <c r="C34" s="170" t="n">
        <v>0.02</v>
      </c>
      <c r="D34" s="170" t="n">
        <v>0.2</v>
      </c>
      <c r="E34" s="123" t="inlineStr">
        <is>
          <t>🟡 Medium</t>
        </is>
      </c>
    </row>
    <row r="35" ht="18" customHeight="1" s="93">
      <c r="A35" s="103" t="inlineStr">
        <is>
          <t>Haryana</t>
        </is>
      </c>
      <c r="B35" s="171" t="n">
        <v>0.77</v>
      </c>
      <c r="C35" s="171" t="n">
        <v>0.02</v>
      </c>
      <c r="D35" s="171" t="n">
        <v>0.21</v>
      </c>
      <c r="E35" s="104" t="inlineStr">
        <is>
          <t>🟡 Medium</t>
        </is>
      </c>
    </row>
    <row r="36" ht="18" customHeight="1" s="93">
      <c r="A36" s="107" t="inlineStr">
        <is>
          <t>Telangana</t>
        </is>
      </c>
      <c r="B36" s="170" t="n">
        <v>0.76</v>
      </c>
      <c r="C36" s="170" t="n">
        <v>0.005</v>
      </c>
      <c r="D36" s="170" t="n">
        <v>0.24</v>
      </c>
      <c r="E36" s="123" t="inlineStr">
        <is>
          <t>🟡 Medium</t>
        </is>
      </c>
    </row>
    <row r="37" ht="18" customHeight="1" s="93">
      <c r="A37" s="103" t="inlineStr">
        <is>
          <t>West Bengal</t>
        </is>
      </c>
      <c r="B37" s="171" t="n">
        <v>0.76</v>
      </c>
      <c r="C37" s="171" t="n">
        <v>0.03</v>
      </c>
      <c r="D37" s="171" t="n">
        <v>0.21</v>
      </c>
      <c r="E37" s="104" t="inlineStr">
        <is>
          <t>🟡 Medium</t>
        </is>
      </c>
    </row>
    <row r="38" ht="18" customHeight="1" s="93">
      <c r="A38" s="107" t="inlineStr">
        <is>
          <t>Jammu &amp; Kashmir</t>
        </is>
      </c>
      <c r="B38" s="170" t="n">
        <v>0.74</v>
      </c>
      <c r="C38" s="170" t="n">
        <v>0.07000000000000001</v>
      </c>
      <c r="D38" s="170" t="n">
        <v>0.19</v>
      </c>
      <c r="E38" s="123" t="inlineStr">
        <is>
          <t>🟡 Medium</t>
        </is>
      </c>
    </row>
    <row r="39" ht="18" customHeight="1" s="93">
      <c r="A39" s="103" t="inlineStr">
        <is>
          <t>Tamil Nadu</t>
        </is>
      </c>
      <c r="B39" s="171" t="n">
        <v>0.73</v>
      </c>
      <c r="C39" s="171" t="n">
        <v>0.02</v>
      </c>
      <c r="D39" s="171" t="n">
        <v>0.25</v>
      </c>
      <c r="E39" s="104" t="inlineStr">
        <is>
          <t>🔴 High</t>
        </is>
      </c>
    </row>
    <row r="40" ht="18" customHeight="1" s="93">
      <c r="A40" s="107" t="inlineStr">
        <is>
          <t>Goa</t>
        </is>
      </c>
      <c r="B40" s="170" t="n">
        <v>0.6899999999999999</v>
      </c>
      <c r="C40" s="170" t="n">
        <v>0</v>
      </c>
      <c r="D40" s="170" t="n">
        <v>0.31</v>
      </c>
      <c r="E40" s="123" t="inlineStr">
        <is>
          <t>🔴 High</t>
        </is>
      </c>
    </row>
    <row r="41"/>
    <row r="42" ht="21.75" customHeight="1" s="93">
      <c r="A42" s="168" t="inlineStr">
        <is>
          <t>💡 KEY INSIGHTS — Regional</t>
        </is>
      </c>
      <c r="B42" s="97" t="n"/>
      <c r="C42" s="97" t="n"/>
      <c r="D42" s="97" t="n"/>
      <c r="E42" s="97" t="n"/>
    </row>
    <row r="43" ht="21.75" customHeight="1" s="93">
      <c r="A43" s="130" t="inlineStr">
        <is>
          <t xml:space="preserve">  →  Yoga Bar has near-total dominance nationally — no state has less than 69% search share for them</t>
        </is>
      </c>
      <c r="B43" s="97" t="n"/>
      <c r="C43" s="97" t="n"/>
      <c r="D43" s="97" t="n"/>
      <c r="E43" s="97" t="n"/>
    </row>
    <row r="44" ht="21.75" customHeight="1" s="93">
      <c r="A44" s="131" t="inlineStr">
        <is>
          <t xml:space="preserve">  →  Slurrp Farm's strongest markets are Goa (31%), Tamil Nadu (25%), Telangana (24%) — South India is their turf</t>
        </is>
      </c>
      <c r="B44" s="97" t="n"/>
      <c r="C44" s="97" t="n"/>
      <c r="D44" s="97" t="n"/>
      <c r="E44" s="97" t="n"/>
    </row>
    <row r="45" ht="21.75" customHeight="1" s="93">
      <c r="A45" s="130" t="inlineStr">
        <is>
          <t xml:space="preserve">  →  Too Yumm has highest search share in J&amp;K (7%) and Assam (6%) — niche North/East pockets only</t>
        </is>
      </c>
      <c r="B45" s="97" t="n"/>
      <c r="C45" s="97" t="n"/>
      <c r="D45" s="97" t="n"/>
      <c r="E45" s="97" t="n"/>
    </row>
    <row r="46" ht="21.75" customHeight="1" s="93">
      <c r="A46" s="131" t="inlineStr">
        <is>
          <t xml:space="preserve">  →  Maharashtra (Bhayandar/Mumbai) — Yoga Bar 81%, Too Yumm 2%, Slurrp Farm 17% — Yoga Bar dominates home market</t>
        </is>
      </c>
      <c r="B46" s="97" t="n"/>
      <c r="C46" s="97" t="n"/>
      <c r="D46" s="97" t="n"/>
      <c r="E46" s="97" t="n"/>
    </row>
    <row r="47" ht="21.75" customHeight="1" s="93">
      <c r="A47" s="130" t="inlineStr">
        <is>
          <t xml:space="preserve">  →  For Munchu: Maharashtra + Karnataka + Delhi are the highest search volume states — ideal launch markets</t>
        </is>
      </c>
      <c r="B47" s="97" t="n"/>
      <c r="C47" s="97" t="n"/>
      <c r="D47" s="97" t="n"/>
      <c r="E47" s="97" t="n"/>
    </row>
  </sheetData>
  <mergeCells count="14">
    <mergeCell ref="A4:E4"/>
    <mergeCell ref="B8:E8"/>
    <mergeCell ref="A43:E43"/>
    <mergeCell ref="A2:E2"/>
    <mergeCell ref="A10:E10"/>
    <mergeCell ref="A42:E42"/>
    <mergeCell ref="B6:E6"/>
    <mergeCell ref="B7:E7"/>
    <mergeCell ref="A1:E1"/>
    <mergeCell ref="A45:E45"/>
    <mergeCell ref="A46:E46"/>
    <mergeCell ref="B5:E5"/>
    <mergeCell ref="A47:E47"/>
    <mergeCell ref="A44:E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2" min="1" max="1"/>
    <col width="20" customWidth="1" style="92" min="2" max="2"/>
    <col width="16" customWidth="1" style="92" min="3" max="4"/>
    <col width="18" customWidth="1" style="92" min="5" max="5"/>
    <col width="30" customWidth="1" style="92" min="6" max="6"/>
  </cols>
  <sheetData>
    <row r="1" ht="31.5" customHeight="1" s="93">
      <c r="A1" s="172" t="inlineStr">
        <is>
          <t>Pricing &amp; Discount Analysis — Healthy Snacking Brands</t>
        </is>
      </c>
      <c r="B1" s="97" t="n"/>
      <c r="C1" s="97" t="n"/>
      <c r="D1" s="97" t="n"/>
      <c r="E1" s="97" t="n"/>
      <c r="F1" s="136" t="n"/>
    </row>
    <row r="2" ht="15" customHeight="1" s="93">
      <c r="A2" s="120" t="inlineStr">
        <is>
          <t>Source: Amazon India  |  Data collected May 2026</t>
        </is>
      </c>
    </row>
    <row r="3" ht="7.5" customHeight="1" s="93"/>
    <row r="4" ht="21.75" customHeight="1" s="93">
      <c r="A4" s="173" t="inlineStr">
        <is>
          <t>PRICE COMPARISON</t>
        </is>
      </c>
      <c r="B4" s="97" t="n"/>
      <c r="C4" s="97" t="n"/>
      <c r="D4" s="97" t="n"/>
      <c r="E4" s="97" t="n"/>
      <c r="F4" s="136" t="n"/>
    </row>
    <row r="5" ht="15" customHeight="1" s="93">
      <c r="A5" s="105" t="inlineStr">
        <is>
          <t>Brand</t>
        </is>
      </c>
      <c r="B5" s="151" t="inlineStr">
        <is>
          <t>Product</t>
        </is>
      </c>
      <c r="C5" s="152" t="inlineStr">
        <is>
          <t>Sale Price</t>
        </is>
      </c>
      <c r="D5" s="153" t="inlineStr">
        <is>
          <t>MRP</t>
        </is>
      </c>
      <c r="E5" s="111" t="inlineStr">
        <is>
          <t>Price/gram</t>
        </is>
      </c>
      <c r="F5" s="105" t="inlineStr">
        <is>
          <t>Notes</t>
        </is>
      </c>
    </row>
    <row r="6" ht="30" customHeight="1" s="93">
      <c r="A6" s="107" t="inlineStr">
        <is>
          <t>Yoga Bar</t>
        </is>
      </c>
      <c r="B6" s="126" t="inlineStr">
        <is>
          <t>Multigrain Energy Bar (10 pack, ~350g)</t>
        </is>
      </c>
      <c r="C6" s="123" t="inlineStr">
        <is>
          <t>₹189–₹229</t>
        </is>
      </c>
      <c r="D6" s="123" t="inlineStr">
        <is>
          <t>₹270</t>
        </is>
      </c>
      <c r="E6" s="123" t="inlineStr">
        <is>
          <t>~₹0.65–1.00/g</t>
        </is>
      </c>
      <c r="F6" s="126" t="inlineStr">
        <is>
          <t>15–30% discount common — aggressive D2C pricing</t>
        </is>
      </c>
    </row>
    <row r="7" ht="30" customHeight="1" s="93">
      <c r="A7" s="103" t="inlineStr">
        <is>
          <t>Too Yumm</t>
        </is>
      </c>
      <c r="B7" s="128" t="inlineStr">
        <is>
          <t>Tangy Tomato Multigrain Chips (21g)</t>
        </is>
      </c>
      <c r="C7" s="104" t="inlineStr">
        <is>
          <t>₹5–₹10</t>
        </is>
      </c>
      <c r="D7" s="104" t="inlineStr">
        <is>
          <t>₹10</t>
        </is>
      </c>
      <c r="E7" s="104" t="inlineStr">
        <is>
          <t>~₹0.24–0.48/g</t>
        </is>
      </c>
      <c r="F7" s="128" t="inlineStr">
        <is>
          <t>Usually at MRP — very accessible impulse price point</t>
        </is>
      </c>
    </row>
    <row r="8" ht="30" customHeight="1" s="93">
      <c r="A8" s="107" t="inlineStr">
        <is>
          <t>Slurrp Farm</t>
        </is>
      </c>
      <c r="B8" s="126" t="inlineStr">
        <is>
          <t>Mighty Jowar Puffs (6 pack, ~120g)</t>
        </is>
      </c>
      <c r="C8" s="123" t="inlineStr">
        <is>
          <t>₹224–₹373</t>
        </is>
      </c>
      <c r="D8" s="123" t="inlineStr">
        <is>
          <t>₹373</t>
        </is>
      </c>
      <c r="E8" s="123" t="inlineStr">
        <is>
          <t>~₹1.8–3.1/g</t>
        </is>
      </c>
      <c r="F8" s="126" t="inlineStr">
        <is>
          <t>Often discounted on Amazon — premium price bracket</t>
        </is>
      </c>
    </row>
    <row r="9" ht="7.5" customHeight="1" s="93"/>
    <row r="10" ht="21.75" customHeight="1" s="93">
      <c r="A10" s="173" t="inlineStr">
        <is>
          <t>PRICE POSITIONING MAP</t>
        </is>
      </c>
      <c r="B10" s="97" t="n"/>
      <c r="C10" s="97" t="n"/>
      <c r="D10" s="97" t="n"/>
      <c r="E10" s="97" t="n"/>
      <c r="F10" s="136" t="n"/>
    </row>
    <row r="11" ht="27.75" customHeight="1" s="93">
      <c r="A11" s="174" t="inlineStr">
        <is>
          <t>Segment</t>
        </is>
      </c>
      <c r="B11" s="174" t="inlineStr">
        <is>
          <t>Brand</t>
        </is>
      </c>
      <c r="C11" s="105" t="inlineStr">
        <is>
          <t>Price/gram</t>
        </is>
      </c>
      <c r="D11" s="105" t="inlineStr">
        <is>
          <t>Target Buyer</t>
        </is>
      </c>
      <c r="E11" s="174" t="inlineStr">
        <is>
          <t>Implication</t>
        </is>
      </c>
    </row>
    <row r="12" ht="27.75" customHeight="1" s="93">
      <c r="A12" s="175" t="inlineStr">
        <is>
          <t>Budget / Impulse</t>
        </is>
      </c>
      <c r="B12" s="175" t="inlineStr">
        <is>
          <t>Too Yumm</t>
        </is>
      </c>
      <c r="C12" s="176" t="inlineStr">
        <is>
          <t>₹0.24–0.48</t>
        </is>
      </c>
      <c r="D12" s="176" t="inlineStr">
        <is>
          <t>Mass market, any income</t>
        </is>
      </c>
      <c r="E12" s="175" t="inlineStr">
        <is>
          <t>Easy trial, low commitment — hard to build loyalty</t>
        </is>
      </c>
    </row>
    <row r="13" ht="27.75" customHeight="1" s="93">
      <c r="A13" s="128" t="inlineStr">
        <is>
          <t>Mid Premium</t>
        </is>
      </c>
      <c r="B13" s="128" t="inlineStr">
        <is>
          <t>Yoga Bar</t>
        </is>
      </c>
      <c r="C13" s="157" t="inlineStr">
        <is>
          <t>₹0.65–1.00</t>
        </is>
      </c>
      <c r="D13" s="157" t="inlineStr">
        <is>
          <t>Urban health-conscious</t>
        </is>
      </c>
      <c r="E13" s="128" t="inlineStr">
        <is>
          <t>Sweet spot — health + affordability balanced</t>
        </is>
      </c>
    </row>
    <row r="14" ht="27.75" customHeight="1" s="93">
      <c r="A14" s="175" t="inlineStr">
        <is>
          <t>Premium</t>
        </is>
      </c>
      <c r="B14" s="175" t="inlineStr">
        <is>
          <t>Slurrp Farm</t>
        </is>
      </c>
      <c r="C14" s="176" t="inlineStr">
        <is>
          <t>₹1.8–3.10</t>
        </is>
      </c>
      <c r="D14" s="176" t="inlineStr">
        <is>
          <t>Health-obsessed parents</t>
        </is>
      </c>
      <c r="E14" s="175" t="inlineStr">
        <is>
          <t>High barrier to trial — loyalty driven by trust not price</t>
        </is>
      </c>
    </row>
    <row r="15" ht="27.75" customHeight="1" s="93">
      <c r="A15" s="158" t="inlineStr">
        <is>
          <t>GAP — Munchu</t>
        </is>
      </c>
      <c r="B15" s="158" t="inlineStr">
        <is>
          <t>Munchu</t>
        </is>
      </c>
      <c r="C15" s="177" t="inlineStr">
        <is>
          <t>₹0.80–1.20</t>
        </is>
      </c>
      <c r="D15" s="177" t="inlineStr">
        <is>
          <t>Working professionals</t>
        </is>
      </c>
      <c r="E15" s="158" t="inlineStr">
        <is>
          <t>Slightly above Yoga Bar — justified by targeting + branding</t>
        </is>
      </c>
    </row>
    <row r="16"/>
    <row r="17" ht="7.5" customHeight="1" s="93"/>
    <row r="18" ht="21.75" customHeight="1" s="93">
      <c r="A18" s="173" t="inlineStr">
        <is>
          <t>DISCOUNT PATTERN ANALYSIS</t>
        </is>
      </c>
      <c r="B18" s="97" t="n"/>
      <c r="C18" s="97" t="n"/>
      <c r="D18" s="97" t="n"/>
      <c r="E18" s="97" t="n"/>
      <c r="F18" s="136" t="n"/>
    </row>
    <row r="19" ht="27.75" customHeight="1" s="93">
      <c r="A19" s="174" t="inlineStr">
        <is>
          <t>Brand</t>
        </is>
      </c>
      <c r="B19" s="174" t="inlineStr">
        <is>
          <t>Typical Discount</t>
        </is>
      </c>
      <c r="C19" s="174" t="inlineStr">
        <is>
          <t>Strategy</t>
        </is>
      </c>
      <c r="D19" s="174" t="inlineStr">
        <is>
          <t>What It Signals</t>
        </is>
      </c>
    </row>
    <row r="20" ht="27.75" customHeight="1" s="93">
      <c r="A20" s="126" t="inlineStr">
        <is>
          <t>Yoga Bar</t>
        </is>
      </c>
      <c r="B20" s="126" t="inlineStr">
        <is>
          <t>15–30% off MRP</t>
        </is>
      </c>
      <c r="C20" s="126" t="inlineStr">
        <is>
          <t>Frequent Amazon deals + D2C offers</t>
        </is>
      </c>
      <c r="D20" s="126" t="inlineStr">
        <is>
          <t>Uses discounting to drive volume — price sensitive buyers targeted</t>
        </is>
      </c>
    </row>
    <row r="21" ht="27.75" customHeight="1" s="93">
      <c r="A21" s="128" t="inlineStr">
        <is>
          <t>Too Yumm</t>
        </is>
      </c>
      <c r="B21" s="128" t="inlineStr">
        <is>
          <t>Minimal / at MRP</t>
        </is>
      </c>
      <c r="C21" s="128" t="inlineStr">
        <is>
          <t>Stable retail pricing</t>
        </is>
      </c>
      <c r="D21" s="128" t="inlineStr">
        <is>
          <t>Relies on low base price not discounts — mass market approach</t>
        </is>
      </c>
    </row>
    <row r="22" ht="27.75" customHeight="1" s="93">
      <c r="A22" s="126" t="inlineStr">
        <is>
          <t>Slurrp Farm</t>
        </is>
      </c>
      <c r="B22" s="126" t="inlineStr">
        <is>
          <t>Up to 40% on Amazon</t>
        </is>
      </c>
      <c r="C22" s="126" t="inlineStr">
        <is>
          <t>Heavy Amazon discounting</t>
        </is>
      </c>
      <c r="D22" s="126" t="inlineStr">
        <is>
          <t>High MRP but discounted heavily — suggests premium positioning is aspirational not real</t>
        </is>
      </c>
    </row>
    <row r="23" ht="7.5" customHeight="1" s="93"/>
    <row r="24" ht="21.75" customHeight="1" s="93">
      <c r="A24" s="178" t="inlineStr">
        <is>
          <t>💡 KEY INSIGHTS — Pricing</t>
        </is>
      </c>
      <c r="B24" s="97" t="n"/>
      <c r="C24" s="97" t="n"/>
      <c r="D24" s="97" t="n"/>
      <c r="E24" s="97" t="n"/>
      <c r="F24" s="136" t="n"/>
    </row>
    <row r="25" ht="21.75" customHeight="1" s="93">
      <c r="A25" s="179" t="inlineStr">
        <is>
          <t xml:space="preserve">  →  Slurrp Farm is 3-5x more expensive per gram than Too Yumm — explains the 'too expensive' review complaints</t>
        </is>
      </c>
      <c r="B25" s="97" t="n"/>
      <c r="C25" s="97" t="n"/>
      <c r="D25" s="97" t="n"/>
      <c r="E25" s="97" t="n"/>
      <c r="F25" s="136" t="n"/>
    </row>
    <row r="26" ht="21.75" customHeight="1" s="93">
      <c r="A26" s="180" t="inlineStr">
        <is>
          <t xml:space="preserve">  →  Yoga Bar hits the pricing sweet spot — premium enough to feel quality, discounted enough to feel accessible</t>
        </is>
      </c>
      <c r="B26" s="97" t="n"/>
      <c r="C26" s="97" t="n"/>
      <c r="D26" s="97" t="n"/>
      <c r="E26" s="97" t="n"/>
      <c r="F26" s="136" t="n"/>
    </row>
    <row r="27" ht="21.75" customHeight="1" s="93">
      <c r="A27" s="179" t="inlineStr">
        <is>
          <t xml:space="preserve">  →  Too Yumm's ₹5-10 impulse price is a moat — impossible to replicate at a health-focused brand's margins</t>
        </is>
      </c>
      <c r="B27" s="97" t="n"/>
      <c r="C27" s="97" t="n"/>
      <c r="D27" s="97" t="n"/>
      <c r="E27" s="97" t="n"/>
      <c r="F27" s="136" t="n"/>
    </row>
    <row r="28" ht="21.75" customHeight="1" s="93">
      <c r="A28" s="180" t="inlineStr">
        <is>
          <t xml:space="preserve">  →  All 3 brands rely on discounting — none has strong enough brand equity to sell at full MRP consistently</t>
        </is>
      </c>
      <c r="B28" s="97" t="n"/>
      <c r="C28" s="97" t="n"/>
      <c r="D28" s="97" t="n"/>
      <c r="E28" s="97" t="n"/>
      <c r="F28" s="136" t="n"/>
    </row>
    <row r="29" ht="21.75" customHeight="1" s="93">
      <c r="A29" s="179" t="inlineStr">
        <is>
          <t xml:space="preserve">  →  Munchu opportunity: Price at ₹0.80-1.20/g — above Too Yumm (signals quality) but below Slurrp Farm (signals accessibility)</t>
        </is>
      </c>
      <c r="B29" s="97" t="n"/>
      <c r="C29" s="97" t="n"/>
      <c r="D29" s="97" t="n"/>
      <c r="E29" s="97" t="n"/>
      <c r="F29" s="136" t="n"/>
    </row>
  </sheetData>
  <mergeCells count="11">
    <mergeCell ref="A24:F24"/>
    <mergeCell ref="A2:F2"/>
    <mergeCell ref="A10:F10"/>
    <mergeCell ref="A28:F28"/>
    <mergeCell ref="A1:F1"/>
    <mergeCell ref="A27:F27"/>
    <mergeCell ref="A18:F18"/>
    <mergeCell ref="A4:F4"/>
    <mergeCell ref="A26:F26"/>
    <mergeCell ref="A29:F29"/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92" min="1" max="1"/>
    <col width="16" customWidth="1" style="92" min="2" max="2"/>
    <col width="20" customWidth="1" style="92" min="3" max="3"/>
    <col width="18" customWidth="1" style="92" min="4" max="4"/>
    <col width="24" customWidth="1" style="92" min="5" max="5"/>
    <col width="28" customWidth="1" style="92" min="6" max="6"/>
  </cols>
  <sheetData>
    <row r="1" ht="31.5" customHeight="1" s="93">
      <c r="A1" s="119" t="inlineStr">
        <is>
          <t>Social Media Performance Analysis — Instagram</t>
        </is>
      </c>
      <c r="B1" s="97" t="n"/>
      <c r="C1" s="97" t="n"/>
      <c r="D1" s="97" t="n"/>
      <c r="E1" s="97" t="n"/>
      <c r="F1" s="97" t="n"/>
    </row>
    <row r="2" ht="15" customHeight="1" s="93">
      <c r="A2" s="120" t="inlineStr">
        <is>
          <t>Source: Instagram  |  Data collected May 2026  |  Engagement Rate = Avg Likes / Followers × 100</t>
        </is>
      </c>
    </row>
    <row r="3" ht="7.5" customHeight="1" s="93"/>
    <row r="4" ht="21.75" customHeight="1" s="93">
      <c r="A4" s="169" t="inlineStr">
        <is>
          <t>CORE METRICS</t>
        </is>
      </c>
      <c r="B4" s="97" t="n"/>
      <c r="C4" s="97" t="n"/>
      <c r="D4" s="97" t="n"/>
      <c r="E4" s="97" t="n"/>
      <c r="F4" s="97" t="n"/>
    </row>
    <row r="5" ht="15" customHeight="1" s="93">
      <c r="A5" s="105" t="inlineStr">
        <is>
          <t>Brand</t>
        </is>
      </c>
      <c r="B5" s="151" t="inlineStr">
        <is>
          <t>Handle</t>
        </is>
      </c>
      <c r="C5" s="152" t="inlineStr">
        <is>
          <t>Followers</t>
        </is>
      </c>
      <c r="D5" s="153" t="inlineStr">
        <is>
          <t>Avg Likes (last 3)</t>
        </is>
      </c>
      <c r="E5" s="111" t="inlineStr">
        <is>
          <t>Post Frequency</t>
        </is>
      </c>
      <c r="F5" s="181" t="inlineStr">
        <is>
          <t>Engagement Rate</t>
        </is>
      </c>
    </row>
    <row r="6" ht="21.75" customHeight="1" s="93">
      <c r="A6" s="107" t="inlineStr">
        <is>
          <t>Yoga Bar</t>
        </is>
      </c>
      <c r="B6" s="123" t="inlineStr">
        <is>
          <t>@yogabar.in</t>
        </is>
      </c>
      <c r="C6" s="123" t="inlineStr">
        <is>
          <t>~190K</t>
        </is>
      </c>
      <c r="D6" s="123" t="inlineStr">
        <is>
          <t>~1,500–3,000</t>
        </is>
      </c>
      <c r="E6" s="123" t="inlineStr">
        <is>
          <t>3–4/week</t>
        </is>
      </c>
      <c r="F6" s="167" t="inlineStr">
        <is>
          <t>~1.2%</t>
        </is>
      </c>
    </row>
    <row r="7" ht="21.75" customHeight="1" s="93">
      <c r="A7" s="103" t="inlineStr">
        <is>
          <t>Too Yumm</t>
        </is>
      </c>
      <c r="B7" s="104" t="inlineStr">
        <is>
          <t>@tooyumm</t>
        </is>
      </c>
      <c r="C7" s="104" t="inlineStr">
        <is>
          <t>~75K</t>
        </is>
      </c>
      <c r="D7" s="104" t="inlineStr">
        <is>
          <t>~500–1,200</t>
        </is>
      </c>
      <c r="E7" s="104" t="inlineStr">
        <is>
          <t>2–3/week</t>
        </is>
      </c>
      <c r="F7" s="166" t="inlineStr">
        <is>
          <t>~1.2%</t>
        </is>
      </c>
    </row>
    <row r="8" ht="21.75" customHeight="1" s="93">
      <c r="A8" s="107" t="inlineStr">
        <is>
          <t>Slurrp Farm</t>
        </is>
      </c>
      <c r="B8" s="123" t="inlineStr">
        <is>
          <t>@slurrpfarm</t>
        </is>
      </c>
      <c r="C8" s="123" t="inlineStr">
        <is>
          <t>~320K</t>
        </is>
      </c>
      <c r="D8" s="123" t="inlineStr">
        <is>
          <t>~2,000–5,000</t>
        </is>
      </c>
      <c r="E8" s="123" t="inlineStr">
        <is>
          <t>4–5/week</t>
        </is>
      </c>
      <c r="F8" s="167" t="inlineStr">
        <is>
          <t>~1.1%</t>
        </is>
      </c>
    </row>
    <row r="9" ht="7.5" customHeight="1" s="93"/>
    <row r="10" ht="21.75" customHeight="1" s="93">
      <c r="A10" s="169" t="inlineStr">
        <is>
          <t>CONTENT STRATEGY BREAKDOWN</t>
        </is>
      </c>
      <c r="B10" s="97" t="n"/>
      <c r="C10" s="97" t="n"/>
      <c r="D10" s="97" t="n"/>
      <c r="E10" s="97" t="n"/>
      <c r="F10" s="97" t="n"/>
    </row>
    <row r="11" ht="15" customHeight="1" s="93">
      <c r="A11" s="105" t="inlineStr">
        <is>
          <t>Brand</t>
        </is>
      </c>
      <c r="B11" s="151" t="inlineStr">
        <is>
          <t>Primary Content</t>
        </is>
      </c>
      <c r="C11" s="152" t="inlineStr">
        <is>
          <t>Tone</t>
        </is>
      </c>
      <c r="D11" s="153" t="inlineStr">
        <is>
          <t>Audience Targeted</t>
        </is>
      </c>
      <c r="E11" s="111" t="inlineStr">
        <is>
          <t>What's Working</t>
        </is>
      </c>
      <c r="F11" s="181" t="inlineStr">
        <is>
          <t>What's Missing</t>
        </is>
      </c>
    </row>
    <row r="12" ht="43.5" customHeight="1" s="93">
      <c r="A12" s="154" t="inlineStr">
        <is>
          <t>Yoga Bar</t>
        </is>
      </c>
      <c r="B12" s="126" t="inlineStr">
        <is>
          <t>Fitness + product + lifestyle</t>
        </is>
      </c>
      <c r="C12" s="126" t="inlineStr">
        <is>
          <t>Aspirational, clean</t>
        </is>
      </c>
      <c r="D12" s="126" t="inlineStr">
        <is>
          <t>Urban fitness crowd 22–35</t>
        </is>
      </c>
      <c r="E12" s="126" t="inlineStr">
        <is>
          <t>Strong visual identity, consistent posting</t>
        </is>
      </c>
      <c r="F12" s="126" t="inlineStr">
        <is>
          <t>No community content, low relatability for non-gym crowd</t>
        </is>
      </c>
    </row>
    <row r="13" ht="43.5" customHeight="1" s="93">
      <c r="A13" s="156" t="inlineStr">
        <is>
          <t>Too Yumm</t>
        </is>
      </c>
      <c r="B13" s="128" t="inlineStr">
        <is>
          <t>Celeb campaigns, ads, product shots</t>
        </is>
      </c>
      <c r="C13" s="128" t="inlineStr">
        <is>
          <t>Bold, mass market</t>
        </is>
      </c>
      <c r="D13" s="128" t="inlineStr">
        <is>
          <t>Youth 15–28, mass audience</t>
        </is>
      </c>
      <c r="E13" s="128" t="inlineStr">
        <is>
          <t>Celebrity reach drives awareness</t>
        </is>
      </c>
      <c r="F13" s="128" t="inlineStr">
        <is>
          <t>Low organic engagement, content feels like ads not content</t>
        </is>
      </c>
    </row>
    <row r="14" ht="43.5" customHeight="1" s="93">
      <c r="A14" s="154" t="inlineStr">
        <is>
          <t>Slurrp Farm</t>
        </is>
      </c>
      <c r="B14" s="126" t="inlineStr">
        <is>
          <t>Moms, kids, education, recipes</t>
        </is>
      </c>
      <c r="C14" s="126" t="inlineStr">
        <is>
          <t>Warm, educational, trustworthy</t>
        </is>
      </c>
      <c r="D14" s="126" t="inlineStr">
        <is>
          <t>Health-conscious parents 28–40</t>
        </is>
      </c>
      <c r="E14" s="126" t="inlineStr">
        <is>
          <t>Highest followers + best engagement, community feel</t>
        </is>
      </c>
      <c r="F14" s="126" t="inlineStr">
        <is>
          <t>Too niche — working professionals completely unaddressed</t>
        </is>
      </c>
    </row>
    <row r="15" ht="7.5" customHeight="1" s="93"/>
    <row r="16" ht="21.75" customHeight="1" s="93">
      <c r="A16" s="168" t="inlineStr">
        <is>
          <t>CONTENT vs REALITY GAP — What Brands Post vs What Consumers Say</t>
        </is>
      </c>
      <c r="B16" s="97" t="n"/>
      <c r="C16" s="97" t="n"/>
      <c r="D16" s="97" t="n"/>
      <c r="E16" s="97" t="n"/>
      <c r="F16" s="97" t="n"/>
    </row>
    <row r="17" ht="22.35" customHeight="1" s="93">
      <c r="A17" s="105" t="inlineStr">
        <is>
          <t>Brand</t>
        </is>
      </c>
      <c r="B17" s="151" t="inlineStr">
        <is>
          <t>Top Consumer Review Theme</t>
        </is>
      </c>
      <c r="C17" s="152" t="inlineStr">
        <is>
          <t>What Brand Posts About</t>
        </is>
      </c>
      <c r="D17" s="153" t="inlineStr">
        <is>
          <t>The Gap</t>
        </is>
      </c>
      <c r="E17" s="111" t="inlineStr">
        <is>
          <t>Munchu Opportunity</t>
        </is>
      </c>
      <c r="F17" s="136" t="n"/>
    </row>
    <row r="18" ht="49.5" customHeight="1" s="93">
      <c r="A18" s="114" t="inlineStr">
        <is>
          <t>Yoga Bar</t>
        </is>
      </c>
      <c r="B18" s="182" t="inlineStr">
        <is>
          <t>Taste #1 (609 mentions) + Value for money concerns</t>
        </is>
      </c>
      <c r="C18" s="182" t="inlineStr">
        <is>
          <t>Fitness, nutrition science, product launches</t>
        </is>
      </c>
      <c r="D18" s="182" t="inlineStr">
        <is>
          <t>Consumers love taste — brand keeps talking science. Price complaints ignored in content.</t>
        </is>
      </c>
      <c r="E18" s="183" t="inlineStr">
        <is>
          <t>Munchu talks taste-first, then backs it with health — not the other way around</t>
        </is>
      </c>
      <c r="F18" s="97" t="n"/>
    </row>
    <row r="19" ht="49.5" customHeight="1" s="93">
      <c r="A19" s="116" t="inlineStr">
        <is>
          <t>Too Yumm</t>
        </is>
      </c>
      <c r="B19" s="184" t="inlineStr">
        <is>
          <t>'Baked not fried' resonates + taste praised</t>
        </is>
      </c>
      <c r="C19" s="184" t="inlineStr">
        <is>
          <t>Celebrity ads, bold visuals, mass appeal</t>
        </is>
      </c>
      <c r="D19" s="184" t="inlineStr">
        <is>
          <t>Consumers respond to health claim — brand underuses it in favour of celeb marketing</t>
        </is>
      </c>
      <c r="E19" s="185" t="inlineStr">
        <is>
          <t>Munchu owns the 'honest health' content space Too Yumm keeps leaving empty</t>
        </is>
      </c>
      <c r="F19" s="97" t="n"/>
    </row>
    <row r="20" ht="49.5" customHeight="1" s="93">
      <c r="A20" s="114" t="inlineStr">
        <is>
          <t>Slurrp Farm</t>
        </is>
      </c>
      <c r="B20" s="182" t="inlineStr">
        <is>
          <t>Value for money #1 complaint + taste polarising</t>
        </is>
      </c>
      <c r="C20" s="182" t="inlineStr">
        <is>
          <t>Happy kids, recipes, mom testimonials</t>
        </is>
      </c>
      <c r="D20" s="182" t="inlineStr">
        <is>
          <t>Price is the biggest pain point — brand never addresses it. Taste complaints go unacknowledged.</t>
        </is>
      </c>
      <c r="E20" s="183" t="inlineStr">
        <is>
          <t>Munchu addresses price transparency head-on — builds trust Too Yumm and Slurrp Farm don't</t>
        </is>
      </c>
      <c r="F20" s="97" t="n"/>
    </row>
    <row r="21" ht="7.5" customHeight="1" s="93"/>
    <row r="22" ht="21.75" customHeight="1" s="93">
      <c r="A22" s="168" t="inlineStr">
        <is>
          <t>💡 KEY INSIGHTS — Social Media</t>
        </is>
      </c>
      <c r="B22" s="97" t="n"/>
      <c r="C22" s="97" t="n"/>
      <c r="D22" s="97" t="n"/>
      <c r="E22" s="97" t="n"/>
      <c r="F22" s="97" t="n"/>
    </row>
    <row r="23" ht="21.75" customHeight="1" s="93">
      <c r="A23" s="130" t="inlineStr">
        <is>
          <t xml:space="preserve">  →  Slurrp Farm has 320K followers but targets parents only — working professionals (Munchu's audience) completely ignored</t>
        </is>
      </c>
      <c r="B23" s="97" t="n"/>
      <c r="C23" s="97" t="n"/>
      <c r="D23" s="97" t="n"/>
      <c r="E23" s="97" t="n"/>
      <c r="F23" s="97" t="n"/>
    </row>
    <row r="24" ht="21.75" customHeight="1" s="93">
      <c r="A24" s="131" t="inlineStr">
        <is>
          <t xml:space="preserve">  →  All 3 brands have similar engagement rates (~1.1–1.2%) — nobody is winning on engagement, just on volume</t>
        </is>
      </c>
      <c r="B24" s="97" t="n"/>
      <c r="C24" s="97" t="n"/>
      <c r="D24" s="97" t="n"/>
      <c r="E24" s="97" t="n"/>
      <c r="F24" s="97" t="n"/>
    </row>
    <row r="25" ht="21.75" customHeight="1" s="93">
      <c r="A25" s="130" t="inlineStr">
        <is>
          <t xml:space="preserve">  →  Too Yumm's content feels like advertising not community — lowest follower count reflects this</t>
        </is>
      </c>
      <c r="B25" s="97" t="n"/>
      <c r="C25" s="97" t="n"/>
      <c r="D25" s="97" t="n"/>
      <c r="E25" s="97" t="n"/>
      <c r="F25" s="97" t="n"/>
    </row>
    <row r="26" ht="21.75" customHeight="1" s="93">
      <c r="A26" s="131" t="inlineStr">
        <is>
          <t xml:space="preserve">  →  Yoga Bar posts fitness content but consumers care about taste — a clear content-reality disconnect</t>
        </is>
      </c>
      <c r="B26" s="97" t="n"/>
      <c r="C26" s="97" t="n"/>
      <c r="D26" s="97" t="n"/>
      <c r="E26" s="97" t="n"/>
      <c r="F26" s="97" t="n"/>
    </row>
    <row r="27" ht="21.75" customHeight="1" s="93">
      <c r="A27" s="130" t="inlineStr">
        <is>
          <t xml:space="preserve">  →  Slurrp Farm's warm community tone is the closest to what Munchu should emulate — but for a different audience</t>
        </is>
      </c>
      <c r="B27" s="97" t="n"/>
      <c r="C27" s="97" t="n"/>
      <c r="D27" s="97" t="n"/>
      <c r="E27" s="97" t="n"/>
      <c r="F27" s="97" t="n"/>
    </row>
    <row r="28" ht="21.75" customHeight="1" s="93">
      <c r="A28" s="131" t="inlineStr">
        <is>
          <t xml:space="preserve">  →  Munchu content strategy: taste-led reels + professional snacking moments + transparent health content = differentiated</t>
        </is>
      </c>
      <c r="B28" s="97" t="n"/>
      <c r="C28" s="97" t="n"/>
      <c r="D28" s="97" t="n"/>
      <c r="E28" s="97" t="n"/>
      <c r="F28" s="97" t="n"/>
    </row>
  </sheetData>
  <mergeCells count="16">
    <mergeCell ref="A24:F24"/>
    <mergeCell ref="A2:F2"/>
    <mergeCell ref="A16:F16"/>
    <mergeCell ref="A10:F10"/>
    <mergeCell ref="E20:F20"/>
    <mergeCell ref="A28:F28"/>
    <mergeCell ref="A1:F1"/>
    <mergeCell ref="E19:F19"/>
    <mergeCell ref="A23:F23"/>
    <mergeCell ref="A27:F27"/>
    <mergeCell ref="A22:F22"/>
    <mergeCell ref="A4:F4"/>
    <mergeCell ref="A26:F26"/>
    <mergeCell ref="E17:F17"/>
    <mergeCell ref="E18:F18"/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2026-04-30T22:21:22Z</dcterms:created>
  <dcterms:modified xmlns:dcterms="http://purl.org/dc/terms/" xmlns:xsi="http://www.w3.org/2001/XMLSchema-instance" xsi:type="dcterms:W3CDTF">2026-05-02T18:20:31Z</dcterms:modified>
  <cp:revision>2</cp:revision>
</cp:coreProperties>
</file>